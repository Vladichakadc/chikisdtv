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056fcf46f041d/Documentos/MagisTV/Tablas/"/>
    </mc:Choice>
  </mc:AlternateContent>
  <xr:revisionPtr revIDLastSave="106" documentId="14_{27A113ED-CCBA-4E1E-B516-C70E75AF1A63}" xr6:coauthVersionLast="47" xr6:coauthVersionMax="47" xr10:uidLastSave="{2633C65E-F705-493D-959D-75C8A7DBFFD1}"/>
  <bookViews>
    <workbookView xWindow="-120" yWindow="-120" windowWidth="29040" windowHeight="15720" xr2:uid="{00000000-000D-0000-FFFF-FFFF00000000}"/>
  </bookViews>
  <sheets>
    <sheet name="BajaLic" sheetId="1" r:id="rId1"/>
  </sheets>
  <externalReferences>
    <externalReference r:id="rId2"/>
  </externalReferences>
  <definedNames>
    <definedName name="_xlnm._FilterDatabase" localSheetId="0" hidden="1">BajaLic!$A$1:$S$112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" l="1"/>
  <c r="C2" i="1"/>
  <c r="D3" i="1"/>
  <c r="C3" i="1"/>
  <c r="D5" i="1"/>
  <c r="C5" i="1"/>
  <c r="D4" i="1"/>
  <c r="C4" i="1"/>
  <c r="D6" i="1"/>
  <c r="C6" i="1"/>
  <c r="D7" i="1"/>
  <c r="C7" i="1"/>
  <c r="D8" i="1"/>
  <c r="C8" i="1"/>
  <c r="D10" i="1"/>
  <c r="C10" i="1"/>
  <c r="D9" i="1"/>
  <c r="C9" i="1"/>
  <c r="D13" i="1"/>
  <c r="C13" i="1"/>
  <c r="D12" i="1" l="1"/>
  <c r="C12" i="1"/>
  <c r="D11" i="1"/>
  <c r="C11" i="1"/>
  <c r="D14" i="1"/>
  <c r="C14" i="1"/>
  <c r="D16" i="1"/>
  <c r="C16" i="1"/>
  <c r="D17" i="1" l="1"/>
  <c r="C17" i="1"/>
  <c r="D18" i="1"/>
  <c r="C18" i="1"/>
  <c r="D19" i="1"/>
  <c r="C19" i="1"/>
  <c r="D20" i="1" l="1"/>
  <c r="C20" i="1"/>
  <c r="D22" i="1"/>
  <c r="C22" i="1"/>
  <c r="D21" i="1"/>
  <c r="C21" i="1"/>
  <c r="C23" i="1"/>
  <c r="D23" i="1"/>
  <c r="D24" i="1"/>
  <c r="C24" i="1"/>
  <c r="D25" i="1"/>
  <c r="C25" i="1"/>
  <c r="D27" i="1" l="1"/>
  <c r="C27" i="1"/>
  <c r="D28" i="1"/>
  <c r="C28" i="1"/>
  <c r="D26" i="1"/>
  <c r="C26" i="1"/>
  <c r="D29" i="1"/>
  <c r="C29" i="1"/>
  <c r="D30" i="1"/>
  <c r="C30" i="1"/>
  <c r="D31" i="1"/>
  <c r="C31" i="1"/>
  <c r="D32" i="1"/>
  <c r="C32" i="1"/>
  <c r="D33" i="1"/>
  <c r="C33" i="1"/>
  <c r="D35" i="1" l="1"/>
  <c r="C35" i="1"/>
  <c r="D34" i="1"/>
  <c r="C34" i="1"/>
  <c r="D36" i="1"/>
  <c r="C36" i="1"/>
  <c r="D37" i="1"/>
  <c r="C37" i="1"/>
  <c r="D38" i="1"/>
  <c r="C38" i="1"/>
  <c r="D40" i="1" l="1"/>
  <c r="C40" i="1"/>
  <c r="D39" i="1"/>
  <c r="C39" i="1"/>
  <c r="D41" i="1" l="1"/>
  <c r="C41" i="1"/>
  <c r="D42" i="1" l="1"/>
  <c r="C42" i="1"/>
  <c r="D44" i="1"/>
  <c r="C44" i="1"/>
  <c r="D76" i="1"/>
  <c r="C76" i="1"/>
  <c r="D43" i="1"/>
  <c r="C43" i="1"/>
  <c r="D45" i="1" l="1"/>
  <c r="C45" i="1"/>
  <c r="D46" i="1"/>
  <c r="C46" i="1"/>
  <c r="D47" i="1"/>
  <c r="C47" i="1"/>
  <c r="D48" i="1"/>
  <c r="C48" i="1"/>
  <c r="D49" i="1"/>
  <c r="C49" i="1"/>
  <c r="D50" i="1"/>
  <c r="C50" i="1"/>
  <c r="D51" i="1"/>
  <c r="C51" i="1"/>
  <c r="D52" i="1"/>
  <c r="C52" i="1"/>
  <c r="D53" i="1"/>
  <c r="C53" i="1"/>
  <c r="D55" i="1"/>
  <c r="C55" i="1"/>
  <c r="D54" i="1"/>
  <c r="C54" i="1"/>
  <c r="D56" i="1"/>
  <c r="C56" i="1"/>
  <c r="D57" i="1"/>
  <c r="C57" i="1"/>
  <c r="D58" i="1"/>
  <c r="C58" i="1"/>
  <c r="D59" i="1"/>
  <c r="C59" i="1"/>
  <c r="D60" i="1" l="1"/>
  <c r="C60" i="1"/>
  <c r="D61" i="1"/>
  <c r="C61" i="1"/>
  <c r="C63" i="1"/>
  <c r="D63" i="1"/>
  <c r="C62" i="1"/>
  <c r="D62" i="1"/>
  <c r="C64" i="1"/>
  <c r="D64" i="1"/>
  <c r="C65" i="1"/>
  <c r="D65" i="1"/>
  <c r="D67" i="1"/>
  <c r="C67" i="1"/>
  <c r="D66" i="1"/>
  <c r="C66" i="1"/>
  <c r="D68" i="1" l="1"/>
  <c r="D69" i="1"/>
  <c r="D70" i="1"/>
  <c r="D71" i="1"/>
  <c r="D73" i="1"/>
  <c r="D75" i="1"/>
  <c r="D72" i="1"/>
  <c r="C68" i="1"/>
  <c r="C69" i="1"/>
  <c r="D74" i="1" l="1"/>
  <c r="C70" i="1"/>
  <c r="C71" i="1"/>
  <c r="C73" i="1"/>
  <c r="C75" i="1"/>
  <c r="D111" i="1"/>
  <c r="D110" i="1"/>
  <c r="D109" i="1"/>
  <c r="D107" i="1"/>
  <c r="D108" i="1"/>
  <c r="D106" i="1"/>
  <c r="D105" i="1"/>
  <c r="D104" i="1"/>
  <c r="D102" i="1"/>
  <c r="D100" i="1"/>
  <c r="D101" i="1"/>
  <c r="D98" i="1"/>
  <c r="D99" i="1"/>
  <c r="D96" i="1"/>
  <c r="D97" i="1"/>
  <c r="D91" i="1"/>
  <c r="D92" i="1"/>
  <c r="D93" i="1"/>
  <c r="D94" i="1"/>
  <c r="D88" i="1"/>
  <c r="D89" i="1"/>
  <c r="D90" i="1"/>
  <c r="D87" i="1"/>
  <c r="D86" i="1"/>
  <c r="D83" i="1"/>
  <c r="D84" i="1"/>
  <c r="D85" i="1"/>
  <c r="D79" i="1"/>
  <c r="D80" i="1"/>
  <c r="D81" i="1"/>
  <c r="D82" i="1"/>
  <c r="D77" i="1"/>
  <c r="C108" i="1"/>
  <c r="C106" i="1"/>
  <c r="C105" i="1"/>
  <c r="C104" i="1"/>
  <c r="C102" i="1"/>
  <c r="C100" i="1"/>
  <c r="C101" i="1"/>
  <c r="C98" i="1"/>
  <c r="C99" i="1"/>
  <c r="C95" i="1"/>
  <c r="C96" i="1"/>
  <c r="C97" i="1"/>
  <c r="C91" i="1"/>
  <c r="C92" i="1"/>
  <c r="C93" i="1"/>
  <c r="C94" i="1"/>
  <c r="C88" i="1"/>
  <c r="C89" i="1"/>
  <c r="C90" i="1"/>
  <c r="C87" i="1"/>
  <c r="C86" i="1"/>
  <c r="C83" i="1"/>
  <c r="C84" i="1"/>
  <c r="C85" i="1"/>
  <c r="C79" i="1"/>
  <c r="C80" i="1"/>
  <c r="C81" i="1"/>
  <c r="C82" i="1"/>
  <c r="C77" i="1"/>
  <c r="C78" i="1"/>
  <c r="C74" i="1"/>
  <c r="C72" i="1"/>
  <c r="C111" i="1"/>
  <c r="C110" i="1"/>
  <c r="C109" i="1"/>
  <c r="C107" i="1"/>
  <c r="C112" i="1"/>
</calcChain>
</file>

<file path=xl/sharedStrings.xml><?xml version="1.0" encoding="utf-8"?>
<sst xmlns="http://schemas.openxmlformats.org/spreadsheetml/2006/main" count="1344" uniqueCount="352">
  <si>
    <t>Item_Quantity</t>
  </si>
  <si>
    <t>Customer_id</t>
  </si>
  <si>
    <t>041</t>
  </si>
  <si>
    <t>SKU</t>
  </si>
  <si>
    <t>0014K</t>
  </si>
  <si>
    <t>003HD</t>
  </si>
  <si>
    <t>004LT</t>
  </si>
  <si>
    <t xml:space="preserve">Fecha </t>
  </si>
  <si>
    <t>Nickname</t>
  </si>
  <si>
    <t>Cristian Bernal 4K</t>
  </si>
  <si>
    <t>TIPO DE FIRE</t>
  </si>
  <si>
    <t>Fire TV 4K</t>
  </si>
  <si>
    <t>Fire TV HD</t>
  </si>
  <si>
    <t>Fire TV LITE</t>
  </si>
  <si>
    <t>Año</t>
  </si>
  <si>
    <t>Mes</t>
  </si>
  <si>
    <t>Enero</t>
  </si>
  <si>
    <t>092</t>
  </si>
  <si>
    <t>Ivan Correa Jan 4K</t>
  </si>
  <si>
    <t>Laura Gonzales Jan H4K</t>
  </si>
  <si>
    <t>Viviana Gomez Jan 4K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</si>
  <si>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</si>
  <si>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</si>
  <si>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</si>
  <si>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</si>
  <si>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</si>
  <si>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</si>
  <si>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</si>
  <si>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</si>
  <si>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Nombre</t>
  </si>
  <si>
    <t>Apellido</t>
  </si>
  <si>
    <t>Pantallas</t>
  </si>
  <si>
    <t>Pantalla</t>
  </si>
  <si>
    <t>Devolucion</t>
  </si>
  <si>
    <t>Cortesia</t>
  </si>
  <si>
    <t>NO</t>
  </si>
  <si>
    <t>005P</t>
  </si>
  <si>
    <t xml:space="preserve">Desactivado </t>
  </si>
  <si>
    <t>031</t>
  </si>
  <si>
    <t>Carlos A cardenas 2</t>
  </si>
  <si>
    <t>Carlos A Cardenas HD</t>
  </si>
  <si>
    <t>042</t>
  </si>
  <si>
    <t>Cristian Sanchez</t>
  </si>
  <si>
    <t>043</t>
  </si>
  <si>
    <t>Danny</t>
  </si>
  <si>
    <t>Damaris - Danny</t>
  </si>
  <si>
    <t>SI</t>
  </si>
  <si>
    <t>046</t>
  </si>
  <si>
    <t>059</t>
  </si>
  <si>
    <t>Emiliano4k</t>
  </si>
  <si>
    <t>069</t>
  </si>
  <si>
    <t>Frankin Gonzalez 2</t>
  </si>
  <si>
    <t>081</t>
  </si>
  <si>
    <t>Harold 3 LITE</t>
  </si>
  <si>
    <t>Jan Demo</t>
  </si>
  <si>
    <t>Jan3 Jorge Garcia 4K</t>
  </si>
  <si>
    <t>112</t>
  </si>
  <si>
    <t>Julian Andres iba 4K</t>
  </si>
  <si>
    <t>129</t>
  </si>
  <si>
    <t>130</t>
  </si>
  <si>
    <t>Mario Zuluaga</t>
  </si>
  <si>
    <t>136</t>
  </si>
  <si>
    <t>Mauricio Madarriaga</t>
  </si>
  <si>
    <t>144</t>
  </si>
  <si>
    <t>159</t>
  </si>
  <si>
    <t>Harold rita-iba 2 fire 4K</t>
  </si>
  <si>
    <t>164</t>
  </si>
  <si>
    <t>171</t>
  </si>
  <si>
    <t>Estado</t>
  </si>
  <si>
    <t xml:space="preserve">Agosto </t>
  </si>
  <si>
    <t>Octubre</t>
  </si>
  <si>
    <t>Id_VM</t>
  </si>
  <si>
    <t>Tipo de Plan</t>
  </si>
  <si>
    <t>Plan Anual</t>
  </si>
  <si>
    <t>Plan Semestral</t>
  </si>
  <si>
    <t>Plan Mensual</t>
  </si>
  <si>
    <t>Tipo de Pantalla</t>
  </si>
  <si>
    <t>Individual</t>
  </si>
  <si>
    <t>009</t>
  </si>
  <si>
    <t>Alexander Barrera</t>
  </si>
  <si>
    <t>Jan 4 Ingrid</t>
  </si>
  <si>
    <t>Jan3 Demo 4K</t>
  </si>
  <si>
    <t>Jan 2 HD</t>
  </si>
  <si>
    <t>Mario Matiz4 4k</t>
  </si>
  <si>
    <t>sandrita SENA FireTV 4K</t>
  </si>
  <si>
    <t>Diciembre</t>
  </si>
  <si>
    <t>Noviembre</t>
  </si>
  <si>
    <t>135</t>
  </si>
  <si>
    <t>150</t>
  </si>
  <si>
    <t>156</t>
  </si>
  <si>
    <t>160</t>
  </si>
  <si>
    <t>169</t>
  </si>
  <si>
    <t>Julian Andres iba 2 4K</t>
  </si>
  <si>
    <t>Hijo Nel Esp</t>
  </si>
  <si>
    <t>Consuelo -Leo ami mechas</t>
  </si>
  <si>
    <t>Raul usa</t>
  </si>
  <si>
    <t>Tatiana usa</t>
  </si>
  <si>
    <t>Revendedor</t>
  </si>
  <si>
    <t>025</t>
  </si>
  <si>
    <t>028</t>
  </si>
  <si>
    <t>049</t>
  </si>
  <si>
    <t>085</t>
  </si>
  <si>
    <t>088</t>
  </si>
  <si>
    <t>Camilo amigo felipe</t>
  </si>
  <si>
    <t>Carlos Galindo4K</t>
  </si>
  <si>
    <t>Davinson</t>
  </si>
  <si>
    <t>Papa Casallas</t>
  </si>
  <si>
    <t>Hoover4K</t>
  </si>
  <si>
    <t xml:space="preserve">Jacobo-willy 3 4K </t>
  </si>
  <si>
    <t>Maicol Jodman esp</t>
  </si>
  <si>
    <t>Rodrigo 2 _4k</t>
  </si>
  <si>
    <t>Willy 2 4k 3gen</t>
  </si>
  <si>
    <t>Fecha de Baja</t>
  </si>
  <si>
    <t>Cuenta Dedicada</t>
  </si>
  <si>
    <t>BAJA01</t>
  </si>
  <si>
    <t>BAJA03</t>
  </si>
  <si>
    <t>BAJA04</t>
  </si>
  <si>
    <t>BAJA05</t>
  </si>
  <si>
    <t>BAJA07</t>
  </si>
  <si>
    <t>BAJA08</t>
  </si>
  <si>
    <t>BAJA09</t>
  </si>
  <si>
    <t>BAJA10</t>
  </si>
  <si>
    <t>BAJA11</t>
  </si>
  <si>
    <t>BAJA12</t>
  </si>
  <si>
    <t>BAJA13</t>
  </si>
  <si>
    <t>BAJA14</t>
  </si>
  <si>
    <t>BAJA15</t>
  </si>
  <si>
    <t>BAJA16</t>
  </si>
  <si>
    <t>BAJA17</t>
  </si>
  <si>
    <t>BAJA18</t>
  </si>
  <si>
    <t>BAJA19</t>
  </si>
  <si>
    <t>BAJA20</t>
  </si>
  <si>
    <t>BAJA21</t>
  </si>
  <si>
    <t>BAJA23</t>
  </si>
  <si>
    <t>BAJA24</t>
  </si>
  <si>
    <t>BAJA25</t>
  </si>
  <si>
    <t>BAJA26</t>
  </si>
  <si>
    <t>BAJA27</t>
  </si>
  <si>
    <t>BAJA28</t>
  </si>
  <si>
    <t>BAJA29</t>
  </si>
  <si>
    <t>BAJA31</t>
  </si>
  <si>
    <t>BAJA32</t>
  </si>
  <si>
    <t>BAJA33</t>
  </si>
  <si>
    <t>BAJA34</t>
  </si>
  <si>
    <t>BAJA36</t>
  </si>
  <si>
    <t>BAJA37</t>
  </si>
  <si>
    <t>BAJA38</t>
  </si>
  <si>
    <t>BAJA39</t>
  </si>
  <si>
    <t>BAJA44</t>
  </si>
  <si>
    <t>BAJA42</t>
  </si>
  <si>
    <t>2023</t>
  </si>
  <si>
    <t>BAJA46</t>
  </si>
  <si>
    <t>Casallas 4k 2gen 1-2</t>
  </si>
  <si>
    <t>Desactivado</t>
  </si>
  <si>
    <t>073</t>
  </si>
  <si>
    <t>177</t>
  </si>
  <si>
    <t>BAJA50</t>
  </si>
  <si>
    <t>163</t>
  </si>
  <si>
    <t>Ruben Dario 2</t>
  </si>
  <si>
    <t>BAJA52</t>
  </si>
  <si>
    <t>113</t>
  </si>
  <si>
    <t>Junior esp</t>
  </si>
  <si>
    <t>BAJA55</t>
  </si>
  <si>
    <t>BAJA56</t>
  </si>
  <si>
    <t>055</t>
  </si>
  <si>
    <t>Diego Urriago Neiv</t>
  </si>
  <si>
    <t>BAJA58</t>
  </si>
  <si>
    <t>149</t>
  </si>
  <si>
    <t>Oscar Escobar</t>
  </si>
  <si>
    <t>Muncher</t>
  </si>
  <si>
    <t>BAJA59</t>
  </si>
  <si>
    <t>045</t>
  </si>
  <si>
    <t>Daniela 11(Claudia)</t>
  </si>
  <si>
    <t>037</t>
  </si>
  <si>
    <t>BAJA60</t>
  </si>
  <si>
    <t>BAJA61</t>
  </si>
  <si>
    <t>BAJA66</t>
  </si>
  <si>
    <t>121</t>
  </si>
  <si>
    <t>Luz Sandra</t>
  </si>
  <si>
    <t>090</t>
  </si>
  <si>
    <t xml:space="preserve">Rose Mary </t>
  </si>
  <si>
    <t>BAJA68</t>
  </si>
  <si>
    <t>Rodrigo 1</t>
  </si>
  <si>
    <t>BAJA69</t>
  </si>
  <si>
    <t>035</t>
  </si>
  <si>
    <t>Catalina Gutierrez</t>
  </si>
  <si>
    <t>095</t>
  </si>
  <si>
    <t>0024KMAX</t>
  </si>
  <si>
    <t>Fire TV 4KMAX</t>
  </si>
  <si>
    <t>Javier W Diaz 2</t>
  </si>
  <si>
    <t>BAJA71</t>
  </si>
  <si>
    <t>Javier W Diaz 1</t>
  </si>
  <si>
    <t>021</t>
  </si>
  <si>
    <t>BAJA73</t>
  </si>
  <si>
    <t>Antonio Esp</t>
  </si>
  <si>
    <t>BAJA76</t>
  </si>
  <si>
    <t>047</t>
  </si>
  <si>
    <t>David Jefe villakiran</t>
  </si>
  <si>
    <t>BAJA82</t>
  </si>
  <si>
    <t>118</t>
  </si>
  <si>
    <t>Lucia 4 (Hijo)</t>
  </si>
  <si>
    <t>BAJA83</t>
  </si>
  <si>
    <t>105</t>
  </si>
  <si>
    <t xml:space="preserve">Juan Zarama </t>
  </si>
  <si>
    <t>BAJA85</t>
  </si>
  <si>
    <t>157</t>
  </si>
  <si>
    <t>Ricardo Peña 2</t>
  </si>
  <si>
    <t>Lucia 1-2-3</t>
  </si>
  <si>
    <t>084</t>
  </si>
  <si>
    <t>Hernan Coro Neiv</t>
  </si>
  <si>
    <t>Cesar Luna esp 3</t>
  </si>
  <si>
    <t>Alex Brijaldo</t>
  </si>
  <si>
    <t>Habrahm Tapia</t>
  </si>
  <si>
    <t>153</t>
  </si>
  <si>
    <t>Paoalomia</t>
  </si>
  <si>
    <t>143</t>
  </si>
  <si>
    <t>Miguel Kamara</t>
  </si>
  <si>
    <t>Jan - (Jose Postobon)</t>
  </si>
  <si>
    <t>Jan (Amigo de Stefania)</t>
  </si>
  <si>
    <t>Sebastian Esp</t>
  </si>
  <si>
    <t>Omar Fernando Cruz</t>
  </si>
  <si>
    <t>087</t>
  </si>
  <si>
    <t>Ivan2</t>
  </si>
  <si>
    <t>Frankin Gonzalez</t>
  </si>
  <si>
    <t>Daniela 10 - (Luz-Stella)</t>
  </si>
  <si>
    <t>BAJA02</t>
  </si>
  <si>
    <t>BAJA81</t>
  </si>
  <si>
    <t>BAJA80</t>
  </si>
  <si>
    <t>BAJA78</t>
  </si>
  <si>
    <t>BAJA77</t>
  </si>
  <si>
    <t>BAJA72</t>
  </si>
  <si>
    <t>BAJA65</t>
  </si>
  <si>
    <t>BAJA63</t>
  </si>
  <si>
    <t>BAJA54</t>
  </si>
  <si>
    <t>BAJA53</t>
  </si>
  <si>
    <t>BAJA51</t>
  </si>
  <si>
    <t>BAJA47</t>
  </si>
  <si>
    <t>BAJA43</t>
  </si>
  <si>
    <t>BAJA40</t>
  </si>
  <si>
    <t>BAJA30</t>
  </si>
  <si>
    <t>BAJA22</t>
  </si>
  <si>
    <t>BAJA06</t>
  </si>
  <si>
    <t>Daniela 5 (Carlos)</t>
  </si>
  <si>
    <t>BAJA88</t>
  </si>
  <si>
    <t>Nicolas Sanchez</t>
  </si>
  <si>
    <t>BAJA92</t>
  </si>
  <si>
    <t>075</t>
  </si>
  <si>
    <t>Giovanni castro</t>
  </si>
  <si>
    <t>BAJA94</t>
  </si>
  <si>
    <t>133</t>
  </si>
  <si>
    <t>Mauricio bonilla 2</t>
  </si>
  <si>
    <t>BAJA96</t>
  </si>
  <si>
    <t>072</t>
  </si>
  <si>
    <t>Gildardo</t>
  </si>
  <si>
    <t>BAJA97</t>
  </si>
  <si>
    <t>126</t>
  </si>
  <si>
    <t>Maria PaulaCely</t>
  </si>
  <si>
    <t>BAJA98</t>
  </si>
  <si>
    <t>082</t>
  </si>
  <si>
    <t>Harry 1 JP</t>
  </si>
  <si>
    <t>BAJA99</t>
  </si>
  <si>
    <t>132</t>
  </si>
  <si>
    <t>Martin Barrera</t>
  </si>
  <si>
    <t>BAJA100</t>
  </si>
  <si>
    <t>066</t>
  </si>
  <si>
    <t>Fidel Castro</t>
  </si>
  <si>
    <t>BAJA101</t>
  </si>
  <si>
    <t>Valeria Cardenas</t>
  </si>
  <si>
    <t>BAJA102</t>
  </si>
  <si>
    <t>017</t>
  </si>
  <si>
    <t>Andres Chantre</t>
  </si>
  <si>
    <t>BAJA104</t>
  </si>
  <si>
    <t>Jan Garcia</t>
  </si>
  <si>
    <t>Jose Omar Valencia</t>
  </si>
  <si>
    <t>BAJA105</t>
  </si>
  <si>
    <t>BAJA106</t>
  </si>
  <si>
    <t>176</t>
  </si>
  <si>
    <t>Hernan Papa</t>
  </si>
  <si>
    <t>BAJA108</t>
  </si>
  <si>
    <t>146</t>
  </si>
  <si>
    <t>Nilson Mechas 2</t>
  </si>
  <si>
    <t>BAJA111</t>
  </si>
  <si>
    <t>Nilson Mechas 1</t>
  </si>
  <si>
    <t>BAJA112</t>
  </si>
  <si>
    <t>Gustavo Onsalo</t>
  </si>
  <si>
    <t>BAJA115</t>
  </si>
  <si>
    <t>114</t>
  </si>
  <si>
    <t>Karen Rubio willinton</t>
  </si>
  <si>
    <t>BAJA116</t>
  </si>
  <si>
    <t>125</t>
  </si>
  <si>
    <t>María Duarte</t>
  </si>
  <si>
    <t>BAJA117</t>
  </si>
  <si>
    <t>063</t>
  </si>
  <si>
    <t xml:space="preserve">Felipe Quiroga </t>
  </si>
  <si>
    <t>BAJA120</t>
  </si>
  <si>
    <t>BAJA121</t>
  </si>
  <si>
    <t>140</t>
  </si>
  <si>
    <t>Migue B 02</t>
  </si>
  <si>
    <t>Migue B 03</t>
  </si>
  <si>
    <t>BAJA122</t>
  </si>
  <si>
    <t>Erika Sanchez</t>
  </si>
  <si>
    <t>BAJA123</t>
  </si>
  <si>
    <t>022</t>
  </si>
  <si>
    <t>Arturo 2</t>
  </si>
  <si>
    <t>166</t>
  </si>
  <si>
    <t>Doctor Jefe</t>
  </si>
  <si>
    <t>BAJA127</t>
  </si>
  <si>
    <t>Carlos Palacio 2 (Michelle)</t>
  </si>
  <si>
    <t>BAJA129</t>
  </si>
  <si>
    <t>032</t>
  </si>
  <si>
    <t>Carlos</t>
  </si>
  <si>
    <t>Palacio</t>
  </si>
  <si>
    <t>BAJA132</t>
  </si>
  <si>
    <t>048</t>
  </si>
  <si>
    <t>David Vargas</t>
  </si>
  <si>
    <t>BAJA133</t>
  </si>
  <si>
    <t>Carlos Merlo 3 (Abel R)</t>
  </si>
  <si>
    <t>086</t>
  </si>
  <si>
    <t>BAJA137</t>
  </si>
  <si>
    <t>BAJA138</t>
  </si>
  <si>
    <t>Daniela 9 4K (Jaime)</t>
  </si>
  <si>
    <t>Daniela Jaime 2</t>
  </si>
  <si>
    <t>BAJA139</t>
  </si>
  <si>
    <t>Alex Soler</t>
  </si>
  <si>
    <t>BAJA140</t>
  </si>
  <si>
    <t>123</t>
  </si>
  <si>
    <t>Marcela Mejia USA 2</t>
  </si>
  <si>
    <t>131</t>
  </si>
  <si>
    <t xml:space="preserve">Martha Cely 1 </t>
  </si>
  <si>
    <t>BAJA141</t>
  </si>
  <si>
    <t>BAJA143</t>
  </si>
  <si>
    <t>014</t>
  </si>
  <si>
    <t>Andres Becerra Usa 2</t>
  </si>
  <si>
    <t>BAJA144</t>
  </si>
  <si>
    <t>108</t>
  </si>
  <si>
    <t>Juan Parra</t>
  </si>
  <si>
    <t>BAJA145</t>
  </si>
  <si>
    <t>054</t>
  </si>
  <si>
    <t>Diego Rodriguez</t>
  </si>
  <si>
    <t>BAJA146</t>
  </si>
  <si>
    <t>127</t>
  </si>
  <si>
    <t>Maria Teresa Castro</t>
  </si>
  <si>
    <t>Jan Stefanía</t>
  </si>
  <si>
    <t>BAJA147</t>
  </si>
  <si>
    <t>Jan - (Tio Stefania)</t>
  </si>
  <si>
    <t>BAJA148</t>
  </si>
  <si>
    <t>BAJA149</t>
  </si>
  <si>
    <t>102</t>
  </si>
  <si>
    <t>Jorge Niño 2</t>
  </si>
  <si>
    <t>BAJA150</t>
  </si>
  <si>
    <t>074</t>
  </si>
  <si>
    <t>Gimena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</si>
</sst>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6B4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Fill="0" applyBorder="0" applyProtection="0">
      <alignment horizontal="left" wrapText="1"/>
    </xf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49" fontId="3" fillId="2" borderId="0" xfId="1" applyNumberFormat="1" applyFont="1" applyFill="1" applyAlignment="1">
      <alignment vertical="center"/>
    </xf>
    <xf numFmtId="14" fontId="3" fillId="2" borderId="0" xfId="1" applyNumberFormat="1" applyFont="1" applyFill="1" applyAlignment="1">
      <alignment vertical="center"/>
    </xf>
    <xf numFmtId="49" fontId="3" fillId="2" borderId="0" xfId="1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4">
    <cellStyle name="Actividad" xfId="2" xr:uid="{4602AD21-8DDF-498D-828F-1F24CE28ED17}"/>
    <cellStyle name="Normal" xfId="0" builtinId="0"/>
    <cellStyle name="Normal 2" xfId="3" xr:uid="{5D665969-A9F0-41CD-8C58-D7C736B4AED1}"/>
    <cellStyle name="Normal 8" xfId="1" xr:uid="{F4EE9B49-2B36-4BD5-B732-7932F9B6391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ad056fcf46f041d/Documentos/MagisTV/Tablas/Tabla_Clientes.xlsx" TargetMode="External"/><Relationship Id="rId1" Type="http://schemas.openxmlformats.org/officeDocument/2006/relationships/externalLinkPath" Target="Tabla_C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Clientes"/>
    </sheetNames>
    <sheetDataSet>
      <sheetData sheetId="0">
        <row r="1">
          <cell r="A1" t="str">
            <v>Customer_id</v>
          </cell>
          <cell r="B1" t="str">
            <v>Nombre</v>
          </cell>
          <cell r="C1" t="str">
            <v>Apellido</v>
          </cell>
          <cell r="D1" t="str">
            <v xml:space="preserve">Genero </v>
          </cell>
          <cell r="E1" t="str">
            <v>Pais</v>
          </cell>
          <cell r="F1" t="str">
            <v>Ciudad</v>
          </cell>
          <cell r="G1" t="str">
            <v>Tipo de Cliente</v>
          </cell>
        </row>
        <row r="2">
          <cell r="A2">
            <v>262</v>
          </cell>
          <cell r="B2" t="str">
            <v>Angella</v>
          </cell>
          <cell r="C2" t="str">
            <v>Godenzi Pizarro</v>
          </cell>
          <cell r="D2" t="str">
            <v>F</v>
          </cell>
          <cell r="E2" t="str">
            <v>España</v>
          </cell>
          <cell r="F2" t="str">
            <v>Madrid</v>
          </cell>
          <cell r="G2" t="str">
            <v>Final</v>
          </cell>
        </row>
        <row r="3">
          <cell r="A3">
            <v>261</v>
          </cell>
          <cell r="B3" t="str">
            <v>Natalia</v>
          </cell>
          <cell r="C3" t="str">
            <v>Arcila</v>
          </cell>
          <cell r="D3" t="str">
            <v>F</v>
          </cell>
          <cell r="E3" t="str">
            <v>España</v>
          </cell>
          <cell r="F3" t="str">
            <v>Madrid</v>
          </cell>
          <cell r="G3" t="str">
            <v>Final</v>
          </cell>
        </row>
        <row r="4">
          <cell r="A4">
            <v>260</v>
          </cell>
          <cell r="B4" t="str">
            <v>Catalina</v>
          </cell>
          <cell r="C4" t="str">
            <v>Gomez</v>
          </cell>
          <cell r="D4" t="str">
            <v>F</v>
          </cell>
          <cell r="E4" t="str">
            <v>Colombia</v>
          </cell>
          <cell r="F4" t="str">
            <v>Bogotá</v>
          </cell>
          <cell r="G4" t="str">
            <v>Final</v>
          </cell>
        </row>
        <row r="5">
          <cell r="A5">
            <v>259</v>
          </cell>
          <cell r="B5" t="str">
            <v>Patricia</v>
          </cell>
          <cell r="C5" t="str">
            <v>Rojas</v>
          </cell>
          <cell r="D5" t="str">
            <v>F</v>
          </cell>
          <cell r="E5" t="str">
            <v>Colombia</v>
          </cell>
          <cell r="F5" t="str">
            <v>Bogotá</v>
          </cell>
          <cell r="G5" t="str">
            <v>Final</v>
          </cell>
        </row>
        <row r="6">
          <cell r="A6">
            <v>258</v>
          </cell>
          <cell r="B6" t="str">
            <v xml:space="preserve">Carlos </v>
          </cell>
          <cell r="C6" t="str">
            <v>Trochez</v>
          </cell>
          <cell r="D6" t="str">
            <v>M</v>
          </cell>
          <cell r="E6" t="str">
            <v>Estados Unidos</v>
          </cell>
          <cell r="F6" t="str">
            <v>New York</v>
          </cell>
          <cell r="G6" t="str">
            <v>Final</v>
          </cell>
        </row>
        <row r="7">
          <cell r="A7">
            <v>257</v>
          </cell>
          <cell r="B7" t="str">
            <v>Jorge</v>
          </cell>
          <cell r="C7" t="str">
            <v>Aguilar</v>
          </cell>
          <cell r="D7" t="str">
            <v>M</v>
          </cell>
          <cell r="E7" t="str">
            <v>Colombia</v>
          </cell>
          <cell r="F7" t="str">
            <v>Bogotá</v>
          </cell>
          <cell r="G7" t="str">
            <v>Final</v>
          </cell>
        </row>
        <row r="8">
          <cell r="A8">
            <v>256</v>
          </cell>
          <cell r="B8" t="str">
            <v>Stiven</v>
          </cell>
          <cell r="C8" t="str">
            <v>Betancouth</v>
          </cell>
          <cell r="D8" t="str">
            <v>M</v>
          </cell>
          <cell r="E8" t="str">
            <v>España</v>
          </cell>
          <cell r="F8" t="str">
            <v>Valencia</v>
          </cell>
          <cell r="G8" t="str">
            <v>Final</v>
          </cell>
        </row>
        <row r="9">
          <cell r="A9">
            <v>255</v>
          </cell>
          <cell r="B9" t="str">
            <v>Colm</v>
          </cell>
          <cell r="C9" t="str">
            <v>Power</v>
          </cell>
          <cell r="D9" t="str">
            <v>M</v>
          </cell>
          <cell r="E9" t="str">
            <v>Holanda</v>
          </cell>
          <cell r="F9" t="str">
            <v>Amsterdam</v>
          </cell>
          <cell r="G9" t="str">
            <v>Final</v>
          </cell>
        </row>
        <row r="10">
          <cell r="A10">
            <v>254</v>
          </cell>
          <cell r="B10" t="str">
            <v>Valentina</v>
          </cell>
          <cell r="C10" t="str">
            <v>LeoMontalvo</v>
          </cell>
          <cell r="D10" t="str">
            <v>F</v>
          </cell>
          <cell r="E10" t="str">
            <v>España</v>
          </cell>
          <cell r="F10" t="str">
            <v>Valencia</v>
          </cell>
          <cell r="G10" t="str">
            <v>Final</v>
          </cell>
        </row>
        <row r="11">
          <cell r="A11">
            <v>253</v>
          </cell>
          <cell r="B11" t="str">
            <v>Yenny</v>
          </cell>
          <cell r="C11" t="str">
            <v>Escobar</v>
          </cell>
          <cell r="D11" t="str">
            <v>F</v>
          </cell>
          <cell r="E11" t="str">
            <v>Estados Unidos</v>
          </cell>
          <cell r="F11" t="str">
            <v>New Yersey</v>
          </cell>
          <cell r="G11" t="str">
            <v>Final</v>
          </cell>
        </row>
        <row r="12">
          <cell r="A12">
            <v>252</v>
          </cell>
          <cell r="B12" t="str">
            <v xml:space="preserve">Boris </v>
          </cell>
          <cell r="C12" t="str">
            <v>Londoño</v>
          </cell>
          <cell r="D12" t="str">
            <v>M</v>
          </cell>
          <cell r="E12" t="str">
            <v>España</v>
          </cell>
          <cell r="F12" t="str">
            <v>Madrid</v>
          </cell>
          <cell r="G12" t="str">
            <v>Final</v>
          </cell>
        </row>
        <row r="13">
          <cell r="A13">
            <v>251</v>
          </cell>
          <cell r="B13" t="str">
            <v>Dairon</v>
          </cell>
          <cell r="C13" t="str">
            <v>Arenas</v>
          </cell>
          <cell r="D13" t="str">
            <v>M</v>
          </cell>
          <cell r="E13" t="str">
            <v>Estados Unidos</v>
          </cell>
          <cell r="F13" t="str">
            <v>New Yersey</v>
          </cell>
          <cell r="G13" t="str">
            <v>Final</v>
          </cell>
        </row>
        <row r="14">
          <cell r="A14">
            <v>250</v>
          </cell>
          <cell r="B14" t="str">
            <v>Edison</v>
          </cell>
          <cell r="C14" t="str">
            <v>Lima</v>
          </cell>
          <cell r="D14" t="str">
            <v>M</v>
          </cell>
          <cell r="E14" t="str">
            <v>España</v>
          </cell>
          <cell r="F14" t="str">
            <v>Madrid</v>
          </cell>
          <cell r="G14" t="str">
            <v>Final</v>
          </cell>
        </row>
        <row r="15">
          <cell r="A15">
            <v>249</v>
          </cell>
          <cell r="B15" t="str">
            <v>Faussy</v>
          </cell>
          <cell r="C15" t="str">
            <v>Arevalo</v>
          </cell>
          <cell r="D15" t="str">
            <v>F</v>
          </cell>
          <cell r="E15" t="str">
            <v>España</v>
          </cell>
          <cell r="F15" t="str">
            <v>Barcelona</v>
          </cell>
          <cell r="G15" t="str">
            <v>Final</v>
          </cell>
        </row>
        <row r="16">
          <cell r="A16">
            <v>248</v>
          </cell>
          <cell r="B16" t="str">
            <v xml:space="preserve">Carlos </v>
          </cell>
          <cell r="C16" t="str">
            <v>Pelaez</v>
          </cell>
          <cell r="D16" t="str">
            <v>M</v>
          </cell>
          <cell r="E16" t="str">
            <v>España</v>
          </cell>
          <cell r="F16" t="str">
            <v>Madrid</v>
          </cell>
          <cell r="G16" t="str">
            <v>Final</v>
          </cell>
        </row>
        <row r="17">
          <cell r="A17">
            <v>247</v>
          </cell>
          <cell r="B17" t="str">
            <v>Lina</v>
          </cell>
          <cell r="C17" t="str">
            <v>Montoya</v>
          </cell>
          <cell r="D17" t="str">
            <v>F</v>
          </cell>
          <cell r="E17" t="str">
            <v>Estados Unidos</v>
          </cell>
          <cell r="F17" t="str">
            <v>New Yersey</v>
          </cell>
          <cell r="G17" t="str">
            <v>Final</v>
          </cell>
        </row>
        <row r="18">
          <cell r="A18">
            <v>246</v>
          </cell>
          <cell r="B18" t="str">
            <v>Raul</v>
          </cell>
          <cell r="C18" t="str">
            <v>Pardo</v>
          </cell>
          <cell r="D18" t="str">
            <v>M</v>
          </cell>
          <cell r="E18" t="str">
            <v>Colombia</v>
          </cell>
          <cell r="F18" t="str">
            <v>Bogotá</v>
          </cell>
          <cell r="G18" t="str">
            <v>Final</v>
          </cell>
        </row>
        <row r="19">
          <cell r="A19">
            <v>245</v>
          </cell>
          <cell r="B19" t="str">
            <v>Jose Ricardo</v>
          </cell>
          <cell r="C19" t="str">
            <v>Parra</v>
          </cell>
          <cell r="D19" t="str">
            <v>M</v>
          </cell>
          <cell r="E19" t="str">
            <v>España</v>
          </cell>
          <cell r="F19" t="str">
            <v>Madrid</v>
          </cell>
          <cell r="G19" t="str">
            <v>Final</v>
          </cell>
        </row>
        <row r="20">
          <cell r="A20">
            <v>244</v>
          </cell>
          <cell r="B20" t="str">
            <v>Mario Alfonso</v>
          </cell>
          <cell r="C20" t="str">
            <v>Aguilar</v>
          </cell>
          <cell r="D20" t="str">
            <v>M</v>
          </cell>
          <cell r="E20" t="str">
            <v>Colombia</v>
          </cell>
          <cell r="F20" t="str">
            <v>Carmen de Apicala</v>
          </cell>
          <cell r="G20" t="str">
            <v>Final</v>
          </cell>
        </row>
        <row r="21">
          <cell r="A21">
            <v>243</v>
          </cell>
          <cell r="B21" t="str">
            <v>Erika</v>
          </cell>
          <cell r="C21" t="str">
            <v>Meraz</v>
          </cell>
          <cell r="D21" t="str">
            <v>F</v>
          </cell>
          <cell r="E21" t="str">
            <v>España</v>
          </cell>
          <cell r="F21" t="str">
            <v>Madrid</v>
          </cell>
          <cell r="G21" t="str">
            <v>Final</v>
          </cell>
        </row>
        <row r="22">
          <cell r="A22">
            <v>242</v>
          </cell>
          <cell r="B22" t="str">
            <v xml:space="preserve">Daniel </v>
          </cell>
          <cell r="C22" t="str">
            <v>Albarracin Bonilla</v>
          </cell>
          <cell r="D22" t="str">
            <v>M</v>
          </cell>
          <cell r="E22" t="str">
            <v>España</v>
          </cell>
          <cell r="F22" t="str">
            <v>Madrid</v>
          </cell>
          <cell r="G22" t="str">
            <v>Final</v>
          </cell>
        </row>
        <row r="23">
          <cell r="A23">
            <v>241</v>
          </cell>
          <cell r="B23" t="str">
            <v>Andres Felipe</v>
          </cell>
          <cell r="C23" t="str">
            <v>Alvarez</v>
          </cell>
          <cell r="D23" t="str">
            <v>M</v>
          </cell>
          <cell r="E23" t="str">
            <v>España</v>
          </cell>
          <cell r="F23" t="str">
            <v>Madrid</v>
          </cell>
          <cell r="G23" t="str">
            <v>Final</v>
          </cell>
        </row>
        <row r="24">
          <cell r="A24">
            <v>240</v>
          </cell>
          <cell r="B24" t="str">
            <v xml:space="preserve">Paola </v>
          </cell>
          <cell r="C24" t="str">
            <v>Saenz</v>
          </cell>
          <cell r="D24" t="str">
            <v>F</v>
          </cell>
          <cell r="E24" t="str">
            <v>Colombia</v>
          </cell>
          <cell r="F24" t="str">
            <v>Bogotá</v>
          </cell>
          <cell r="G24" t="str">
            <v>Final</v>
          </cell>
        </row>
        <row r="25">
          <cell r="A25">
            <v>239</v>
          </cell>
          <cell r="B25" t="str">
            <v>Camilo</v>
          </cell>
          <cell r="C25" t="str">
            <v>Cely</v>
          </cell>
          <cell r="D25" t="str">
            <v>M</v>
          </cell>
          <cell r="E25" t="str">
            <v>España</v>
          </cell>
          <cell r="F25" t="str">
            <v>Alicante</v>
          </cell>
          <cell r="G25" t="str">
            <v>Final</v>
          </cell>
        </row>
        <row r="26">
          <cell r="A26">
            <v>238</v>
          </cell>
          <cell r="B26" t="str">
            <v xml:space="preserve">Sebastian </v>
          </cell>
          <cell r="C26" t="str">
            <v>Acevedo</v>
          </cell>
          <cell r="D26" t="str">
            <v>M</v>
          </cell>
          <cell r="E26" t="str">
            <v>Holanda</v>
          </cell>
          <cell r="F26" t="str">
            <v>Amsterdam</v>
          </cell>
          <cell r="G26" t="str">
            <v>Final</v>
          </cell>
        </row>
        <row r="27">
          <cell r="A27">
            <v>237</v>
          </cell>
          <cell r="B27" t="str">
            <v>Pati</v>
          </cell>
          <cell r="C27" t="str">
            <v>LeoMontalvo</v>
          </cell>
          <cell r="D27" t="str">
            <v>F</v>
          </cell>
          <cell r="E27" t="str">
            <v>España</v>
          </cell>
          <cell r="F27" t="str">
            <v>Valencia</v>
          </cell>
          <cell r="G27" t="str">
            <v>Final</v>
          </cell>
        </row>
        <row r="28">
          <cell r="A28">
            <v>236</v>
          </cell>
          <cell r="B28" t="str">
            <v>James</v>
          </cell>
          <cell r="C28" t="str">
            <v>LeoMontalvo</v>
          </cell>
          <cell r="D28" t="str">
            <v>M</v>
          </cell>
          <cell r="E28" t="str">
            <v>España</v>
          </cell>
          <cell r="F28" t="str">
            <v>Valencia</v>
          </cell>
          <cell r="G28" t="str">
            <v>Final</v>
          </cell>
        </row>
        <row r="29">
          <cell r="A29">
            <v>235</v>
          </cell>
          <cell r="B29" t="str">
            <v>Gustavo</v>
          </cell>
          <cell r="C29" t="str">
            <v>Medina</v>
          </cell>
          <cell r="D29" t="str">
            <v>M</v>
          </cell>
          <cell r="E29" t="str">
            <v>España</v>
          </cell>
          <cell r="F29" t="str">
            <v>Valencia</v>
          </cell>
          <cell r="G29" t="str">
            <v>Final</v>
          </cell>
        </row>
        <row r="30">
          <cell r="A30">
            <v>234</v>
          </cell>
          <cell r="B30" t="str">
            <v>Violeta</v>
          </cell>
          <cell r="C30" t="str">
            <v>Llanera</v>
          </cell>
          <cell r="D30" t="str">
            <v>F</v>
          </cell>
          <cell r="E30" t="str">
            <v>España</v>
          </cell>
          <cell r="F30" t="str">
            <v>Madrid</v>
          </cell>
          <cell r="G30" t="str">
            <v>Final</v>
          </cell>
        </row>
        <row r="31">
          <cell r="A31">
            <v>233</v>
          </cell>
          <cell r="B31" t="str">
            <v xml:space="preserve">Wilson </v>
          </cell>
          <cell r="C31" t="str">
            <v>Urmendez</v>
          </cell>
          <cell r="D31" t="str">
            <v>M</v>
          </cell>
          <cell r="E31" t="str">
            <v>España</v>
          </cell>
          <cell r="F31" t="str">
            <v>Valencia</v>
          </cell>
          <cell r="G31" t="str">
            <v>Final</v>
          </cell>
        </row>
        <row r="32">
          <cell r="A32">
            <v>232</v>
          </cell>
          <cell r="B32" t="str">
            <v>Yerman</v>
          </cell>
          <cell r="C32" t="str">
            <v>Olano</v>
          </cell>
          <cell r="D32" t="str">
            <v>M</v>
          </cell>
          <cell r="E32" t="str">
            <v>Colombia</v>
          </cell>
          <cell r="F32" t="str">
            <v>Medellin</v>
          </cell>
          <cell r="G32" t="str">
            <v>Final</v>
          </cell>
        </row>
        <row r="33">
          <cell r="A33">
            <v>231</v>
          </cell>
          <cell r="B33" t="str">
            <v>Christian Camilo</v>
          </cell>
          <cell r="C33" t="str">
            <v>Acevedo</v>
          </cell>
          <cell r="D33" t="str">
            <v>M</v>
          </cell>
          <cell r="E33" t="str">
            <v>Colombia</v>
          </cell>
          <cell r="F33" t="str">
            <v>San Vicente del Caguan</v>
          </cell>
          <cell r="G33" t="str">
            <v>Final</v>
          </cell>
        </row>
        <row r="34">
          <cell r="A34">
            <v>230</v>
          </cell>
          <cell r="B34" t="str">
            <v xml:space="preserve">Alexander </v>
          </cell>
          <cell r="C34" t="str">
            <v>Mendoza</v>
          </cell>
          <cell r="D34" t="str">
            <v>M</v>
          </cell>
          <cell r="E34" t="str">
            <v>Colombia</v>
          </cell>
          <cell r="F34" t="str">
            <v>Bogotá</v>
          </cell>
          <cell r="G34" t="str">
            <v>Final</v>
          </cell>
        </row>
        <row r="35">
          <cell r="A35">
            <v>229</v>
          </cell>
          <cell r="B35" t="str">
            <v>Monica</v>
          </cell>
          <cell r="C35" t="str">
            <v>Montalvo</v>
          </cell>
          <cell r="D35" t="str">
            <v>F</v>
          </cell>
          <cell r="E35" t="str">
            <v>España</v>
          </cell>
          <cell r="F35" t="str">
            <v>Victoria</v>
          </cell>
          <cell r="G35" t="str">
            <v>Final</v>
          </cell>
        </row>
        <row r="36">
          <cell r="A36">
            <v>228</v>
          </cell>
          <cell r="B36" t="str">
            <v>Lucelli</v>
          </cell>
          <cell r="C36" t="str">
            <v>Montes</v>
          </cell>
          <cell r="D36" t="str">
            <v>F</v>
          </cell>
          <cell r="E36" t="str">
            <v>España</v>
          </cell>
          <cell r="F36" t="str">
            <v>Madrid</v>
          </cell>
          <cell r="G36" t="str">
            <v>Final</v>
          </cell>
        </row>
        <row r="37">
          <cell r="A37">
            <v>227</v>
          </cell>
          <cell r="B37" t="str">
            <v xml:space="preserve">Diego Leonardo </v>
          </cell>
          <cell r="C37" t="str">
            <v>Montalvo</v>
          </cell>
          <cell r="D37" t="str">
            <v>M</v>
          </cell>
          <cell r="E37" t="str">
            <v>España</v>
          </cell>
          <cell r="F37" t="str">
            <v>Madrid</v>
          </cell>
          <cell r="G37" t="str">
            <v>Final</v>
          </cell>
        </row>
        <row r="38">
          <cell r="A38">
            <v>226</v>
          </cell>
          <cell r="B38" t="str">
            <v xml:space="preserve">Daniel </v>
          </cell>
          <cell r="C38" t="str">
            <v>Rangel</v>
          </cell>
          <cell r="D38" t="str">
            <v>M</v>
          </cell>
          <cell r="E38" t="str">
            <v>Colombia</v>
          </cell>
          <cell r="F38" t="str">
            <v>Bogotá</v>
          </cell>
          <cell r="G38" t="str">
            <v>Final</v>
          </cell>
        </row>
        <row r="39">
          <cell r="A39">
            <v>225</v>
          </cell>
          <cell r="B39" t="str">
            <v xml:space="preserve">Carlos </v>
          </cell>
          <cell r="C39" t="str">
            <v>Bermejo</v>
          </cell>
          <cell r="D39" t="str">
            <v>M</v>
          </cell>
          <cell r="E39" t="str">
            <v>España</v>
          </cell>
          <cell r="F39" t="str">
            <v>Madrid</v>
          </cell>
          <cell r="G39" t="str">
            <v>Final</v>
          </cell>
        </row>
        <row r="40">
          <cell r="A40">
            <v>224</v>
          </cell>
          <cell r="B40" t="str">
            <v>Stephany</v>
          </cell>
          <cell r="C40" t="str">
            <v>Upegui</v>
          </cell>
          <cell r="D40" t="str">
            <v>F</v>
          </cell>
          <cell r="E40" t="str">
            <v>España</v>
          </cell>
          <cell r="F40" t="str">
            <v>Valencia</v>
          </cell>
          <cell r="G40" t="str">
            <v>Final</v>
          </cell>
        </row>
        <row r="41">
          <cell r="A41">
            <v>223</v>
          </cell>
          <cell r="B41" t="str">
            <v>Stiven</v>
          </cell>
          <cell r="C41" t="str">
            <v>Gonzalez</v>
          </cell>
          <cell r="D41" t="str">
            <v>M</v>
          </cell>
          <cell r="E41" t="str">
            <v>España</v>
          </cell>
          <cell r="F41" t="str">
            <v>Madrid</v>
          </cell>
          <cell r="G41" t="str">
            <v>Final</v>
          </cell>
        </row>
        <row r="42">
          <cell r="A42">
            <v>222</v>
          </cell>
          <cell r="B42" t="str">
            <v>Nicolas</v>
          </cell>
          <cell r="C42" t="str">
            <v>Sanchez</v>
          </cell>
          <cell r="D42" t="str">
            <v>M</v>
          </cell>
          <cell r="E42" t="str">
            <v>Colombia</v>
          </cell>
          <cell r="F42" t="str">
            <v>Bogotá</v>
          </cell>
          <cell r="G42" t="str">
            <v>Final</v>
          </cell>
        </row>
        <row r="43">
          <cell r="A43">
            <v>221</v>
          </cell>
          <cell r="B43" t="str">
            <v xml:space="preserve">Oscar </v>
          </cell>
          <cell r="C43" t="str">
            <v>Castro</v>
          </cell>
          <cell r="D43" t="str">
            <v>M</v>
          </cell>
          <cell r="E43" t="str">
            <v>Estados Unidos</v>
          </cell>
          <cell r="F43" t="str">
            <v>Orlando</v>
          </cell>
          <cell r="G43" t="str">
            <v>Final</v>
          </cell>
        </row>
        <row r="44">
          <cell r="A44">
            <v>220</v>
          </cell>
          <cell r="B44" t="str">
            <v>Maritza</v>
          </cell>
          <cell r="C44" t="str">
            <v>Arriola</v>
          </cell>
          <cell r="D44" t="str">
            <v>F</v>
          </cell>
          <cell r="E44" t="str">
            <v>Honduras</v>
          </cell>
          <cell r="F44" t="str">
            <v>San Pedro Sula</v>
          </cell>
          <cell r="G44" t="str">
            <v>Final</v>
          </cell>
        </row>
        <row r="45">
          <cell r="A45">
            <v>219</v>
          </cell>
          <cell r="B45" t="str">
            <v>Victoria</v>
          </cell>
          <cell r="C45" t="str">
            <v>Pizza</v>
          </cell>
          <cell r="D45" t="str">
            <v>F</v>
          </cell>
          <cell r="E45" t="str">
            <v>Estados Unidos</v>
          </cell>
          <cell r="F45" t="str">
            <v>Orlando</v>
          </cell>
          <cell r="G45" t="str">
            <v>Final</v>
          </cell>
        </row>
        <row r="46">
          <cell r="A46">
            <v>218</v>
          </cell>
          <cell r="B46" t="str">
            <v>Teresa</v>
          </cell>
          <cell r="C46" t="str">
            <v>Villegas</v>
          </cell>
          <cell r="D46" t="str">
            <v>F</v>
          </cell>
          <cell r="E46" t="str">
            <v>Colombia</v>
          </cell>
          <cell r="F46" t="str">
            <v>Cali</v>
          </cell>
          <cell r="G46" t="str">
            <v>Final</v>
          </cell>
        </row>
        <row r="47">
          <cell r="A47">
            <v>217</v>
          </cell>
          <cell r="B47" t="str">
            <v>Omar Fernando</v>
          </cell>
          <cell r="C47" t="str">
            <v>Cruz</v>
          </cell>
          <cell r="D47" t="str">
            <v>M</v>
          </cell>
          <cell r="E47" t="str">
            <v>Colombia</v>
          </cell>
          <cell r="F47" t="str">
            <v>Bogotá</v>
          </cell>
          <cell r="G47" t="str">
            <v>Final</v>
          </cell>
        </row>
        <row r="48">
          <cell r="A48">
            <v>216</v>
          </cell>
          <cell r="B48" t="str">
            <v>Gustavo</v>
          </cell>
          <cell r="C48" t="str">
            <v>Onsalo</v>
          </cell>
          <cell r="D48" t="str">
            <v>M</v>
          </cell>
          <cell r="E48" t="str">
            <v>Estados Unidos</v>
          </cell>
          <cell r="F48" t="str">
            <v>Orlando</v>
          </cell>
          <cell r="G48" t="str">
            <v>Final</v>
          </cell>
        </row>
        <row r="49">
          <cell r="A49">
            <v>215</v>
          </cell>
          <cell r="B49" t="str">
            <v>Jhair</v>
          </cell>
          <cell r="C49" t="str">
            <v>Coronado</v>
          </cell>
          <cell r="D49" t="str">
            <v>M</v>
          </cell>
          <cell r="E49" t="str">
            <v>Colombia</v>
          </cell>
          <cell r="F49" t="str">
            <v>Bogotá</v>
          </cell>
          <cell r="G49" t="str">
            <v>Final</v>
          </cell>
        </row>
        <row r="50">
          <cell r="A50">
            <v>214</v>
          </cell>
          <cell r="B50" t="str">
            <v>Luz</v>
          </cell>
          <cell r="C50" t="str">
            <v>Tabares</v>
          </cell>
          <cell r="D50" t="str">
            <v>F</v>
          </cell>
          <cell r="E50" t="str">
            <v>Estados Unidos</v>
          </cell>
          <cell r="F50" t="str">
            <v>Orlando</v>
          </cell>
          <cell r="G50" t="str">
            <v>Final</v>
          </cell>
        </row>
        <row r="51">
          <cell r="A51">
            <v>213</v>
          </cell>
          <cell r="B51" t="str">
            <v>Camila</v>
          </cell>
          <cell r="C51" t="str">
            <v>Gomez</v>
          </cell>
          <cell r="D51" t="str">
            <v>F</v>
          </cell>
          <cell r="E51" t="str">
            <v>Estados Unidos</v>
          </cell>
          <cell r="F51" t="str">
            <v>Orlando</v>
          </cell>
          <cell r="G51" t="str">
            <v>Final</v>
          </cell>
        </row>
        <row r="52">
          <cell r="A52">
            <v>212</v>
          </cell>
          <cell r="B52" t="str">
            <v xml:space="preserve">Laura </v>
          </cell>
          <cell r="C52" t="str">
            <v>Sanchez</v>
          </cell>
          <cell r="D52" t="str">
            <v>F</v>
          </cell>
          <cell r="E52" t="str">
            <v>Colombia</v>
          </cell>
          <cell r="F52" t="str">
            <v>Bogotá</v>
          </cell>
          <cell r="G52" t="str">
            <v>Final</v>
          </cell>
        </row>
        <row r="53">
          <cell r="A53">
            <v>211</v>
          </cell>
          <cell r="B53" t="str">
            <v xml:space="preserve">Jose Omar </v>
          </cell>
          <cell r="C53" t="str">
            <v>Valencia</v>
          </cell>
          <cell r="D53" t="str">
            <v>M</v>
          </cell>
          <cell r="E53" t="str">
            <v>Colombia</v>
          </cell>
          <cell r="F53" t="str">
            <v>Cali</v>
          </cell>
          <cell r="G53" t="str">
            <v>Final</v>
          </cell>
        </row>
        <row r="54">
          <cell r="A54">
            <v>210</v>
          </cell>
          <cell r="B54" t="str">
            <v xml:space="preserve">Paola </v>
          </cell>
          <cell r="C54" t="str">
            <v>Rojas</v>
          </cell>
          <cell r="D54" t="str">
            <v>F</v>
          </cell>
          <cell r="E54" t="str">
            <v>Colombia</v>
          </cell>
          <cell r="F54" t="str">
            <v>Bogotá</v>
          </cell>
          <cell r="G54" t="str">
            <v>Final</v>
          </cell>
        </row>
        <row r="55">
          <cell r="A55">
            <v>209</v>
          </cell>
          <cell r="B55" t="str">
            <v xml:space="preserve">Claudio </v>
          </cell>
          <cell r="C55" t="str">
            <v>Rita</v>
          </cell>
          <cell r="D55" t="str">
            <v>M</v>
          </cell>
          <cell r="E55" t="str">
            <v>Venezuela</v>
          </cell>
          <cell r="F55" t="str">
            <v>San Cristobal</v>
          </cell>
          <cell r="G55" t="str">
            <v>Final</v>
          </cell>
        </row>
        <row r="56">
          <cell r="A56">
            <v>208</v>
          </cell>
          <cell r="B56" t="str">
            <v>Valeria</v>
          </cell>
          <cell r="C56" t="str">
            <v xml:space="preserve">Cardenas </v>
          </cell>
          <cell r="D56" t="str">
            <v>F</v>
          </cell>
          <cell r="E56" t="str">
            <v>España</v>
          </cell>
          <cell r="F56" t="str">
            <v>Alicante</v>
          </cell>
          <cell r="G56" t="str">
            <v>Final</v>
          </cell>
        </row>
        <row r="57">
          <cell r="A57">
            <v>207</v>
          </cell>
          <cell r="B57" t="str">
            <v>Habrahm</v>
          </cell>
          <cell r="C57" t="str">
            <v>Tapia</v>
          </cell>
          <cell r="D57" t="str">
            <v>M</v>
          </cell>
          <cell r="E57" t="str">
            <v>Colombia</v>
          </cell>
          <cell r="F57" t="str">
            <v>Carmen de Bolivar</v>
          </cell>
          <cell r="G57" t="str">
            <v>Final</v>
          </cell>
        </row>
        <row r="58">
          <cell r="A58">
            <v>206</v>
          </cell>
          <cell r="B58" t="str">
            <v>Armando</v>
          </cell>
          <cell r="C58" t="str">
            <v>Briceño</v>
          </cell>
          <cell r="D58" t="str">
            <v>M</v>
          </cell>
          <cell r="E58" t="str">
            <v>Venezuela</v>
          </cell>
          <cell r="F58" t="str">
            <v>San Cristobal</v>
          </cell>
          <cell r="G58" t="str">
            <v>Final</v>
          </cell>
        </row>
        <row r="59">
          <cell r="A59">
            <v>205</v>
          </cell>
          <cell r="B59" t="str">
            <v xml:space="preserve">Vitalidad </v>
          </cell>
          <cell r="C59" t="str">
            <v>Gongora</v>
          </cell>
          <cell r="D59" t="str">
            <v>F</v>
          </cell>
          <cell r="E59" t="str">
            <v>España</v>
          </cell>
          <cell r="F59" t="str">
            <v>Madrid</v>
          </cell>
          <cell r="G59" t="str">
            <v>Final</v>
          </cell>
        </row>
        <row r="60">
          <cell r="A60">
            <v>204</v>
          </cell>
          <cell r="B60" t="str">
            <v xml:space="preserve">Alexander </v>
          </cell>
          <cell r="C60" t="str">
            <v>Soler</v>
          </cell>
          <cell r="D60" t="str">
            <v>M</v>
          </cell>
          <cell r="E60" t="str">
            <v>Colombia</v>
          </cell>
          <cell r="F60" t="str">
            <v>Bogotá</v>
          </cell>
          <cell r="G60" t="str">
            <v>Final</v>
          </cell>
        </row>
        <row r="61">
          <cell r="A61">
            <v>203</v>
          </cell>
          <cell r="B61" t="str">
            <v>Andrea</v>
          </cell>
          <cell r="C61" t="str">
            <v>Maestre</v>
          </cell>
          <cell r="D61" t="str">
            <v>F</v>
          </cell>
          <cell r="E61" t="str">
            <v>Colombia</v>
          </cell>
          <cell r="F61" t="str">
            <v>Bogotá</v>
          </cell>
          <cell r="G61" t="str">
            <v>Final</v>
          </cell>
        </row>
        <row r="62">
          <cell r="A62">
            <v>202</v>
          </cell>
          <cell r="B62" t="str">
            <v xml:space="preserve">Carlos </v>
          </cell>
          <cell r="C62" t="str">
            <v>Sanchez</v>
          </cell>
          <cell r="D62" t="str">
            <v>M</v>
          </cell>
          <cell r="E62" t="str">
            <v>España</v>
          </cell>
          <cell r="F62" t="str">
            <v>Valencia</v>
          </cell>
          <cell r="G62" t="str">
            <v>Final</v>
          </cell>
        </row>
        <row r="63">
          <cell r="A63">
            <v>201</v>
          </cell>
          <cell r="B63" t="str">
            <v xml:space="preserve">Hugo </v>
          </cell>
          <cell r="C63" t="str">
            <v>Salcedo</v>
          </cell>
          <cell r="D63" t="str">
            <v>M</v>
          </cell>
          <cell r="E63" t="str">
            <v>Holanda</v>
          </cell>
          <cell r="F63" t="str">
            <v>Amsterdam</v>
          </cell>
          <cell r="G63" t="str">
            <v>Final</v>
          </cell>
        </row>
        <row r="64">
          <cell r="A64">
            <v>200</v>
          </cell>
          <cell r="B64" t="str">
            <v>Alex</v>
          </cell>
          <cell r="C64" t="str">
            <v>Roa</v>
          </cell>
          <cell r="D64" t="str">
            <v>M</v>
          </cell>
          <cell r="E64" t="str">
            <v>Colombia</v>
          </cell>
          <cell r="F64" t="str">
            <v>Bogotá</v>
          </cell>
          <cell r="G64" t="str">
            <v>Final</v>
          </cell>
        </row>
        <row r="65">
          <cell r="A65">
            <v>199</v>
          </cell>
          <cell r="B65" t="str">
            <v xml:space="preserve">Miguel </v>
          </cell>
          <cell r="C65" t="str">
            <v>Duarte Hijo</v>
          </cell>
          <cell r="D65" t="str">
            <v>M</v>
          </cell>
          <cell r="E65" t="str">
            <v>Colombia</v>
          </cell>
          <cell r="F65" t="str">
            <v>Bogotá</v>
          </cell>
          <cell r="G65" t="str">
            <v>Final</v>
          </cell>
        </row>
        <row r="66">
          <cell r="A66">
            <v>198</v>
          </cell>
          <cell r="B66" t="str">
            <v xml:space="preserve">Miguel </v>
          </cell>
          <cell r="C66" t="str">
            <v>Duarte</v>
          </cell>
          <cell r="D66" t="str">
            <v>M</v>
          </cell>
          <cell r="E66" t="str">
            <v>Colombia</v>
          </cell>
          <cell r="F66" t="str">
            <v>Bogotá</v>
          </cell>
          <cell r="G66" t="str">
            <v>Final</v>
          </cell>
        </row>
        <row r="67">
          <cell r="A67">
            <v>197</v>
          </cell>
          <cell r="B67" t="str">
            <v xml:space="preserve">Jenny </v>
          </cell>
          <cell r="C67" t="str">
            <v>Chacon</v>
          </cell>
          <cell r="D67" t="str">
            <v>F</v>
          </cell>
          <cell r="E67" t="str">
            <v>Venezuela</v>
          </cell>
          <cell r="F67" t="str">
            <v>San Cristobal</v>
          </cell>
          <cell r="G67" t="str">
            <v>Final</v>
          </cell>
        </row>
        <row r="68">
          <cell r="A68">
            <v>196</v>
          </cell>
          <cell r="B68" t="str">
            <v xml:space="preserve">Ivan Mauricio </v>
          </cell>
          <cell r="C68" t="str">
            <v>Guerrero</v>
          </cell>
          <cell r="D68" t="str">
            <v>M</v>
          </cell>
          <cell r="E68" t="str">
            <v>Colombia</v>
          </cell>
          <cell r="F68" t="str">
            <v>Cali</v>
          </cell>
          <cell r="G68" t="str">
            <v>Final</v>
          </cell>
        </row>
        <row r="69">
          <cell r="A69">
            <v>195</v>
          </cell>
          <cell r="B69" t="str">
            <v>German</v>
          </cell>
          <cell r="C69" t="str">
            <v>Sandoval Hijo</v>
          </cell>
          <cell r="D69" t="str">
            <v>M</v>
          </cell>
          <cell r="E69" t="str">
            <v>Republica de Malta</v>
          </cell>
          <cell r="F69" t="str">
            <v>Republica de Malta</v>
          </cell>
          <cell r="G69" t="str">
            <v>Final</v>
          </cell>
        </row>
        <row r="70">
          <cell r="A70">
            <v>194</v>
          </cell>
          <cell r="B70" t="str">
            <v xml:space="preserve">Miguel Angel </v>
          </cell>
          <cell r="C70" t="str">
            <v>Diaz</v>
          </cell>
          <cell r="D70" t="str">
            <v>M</v>
          </cell>
          <cell r="E70" t="str">
            <v>Colombia</v>
          </cell>
          <cell r="F70" t="str">
            <v>Neiva</v>
          </cell>
          <cell r="G70" t="str">
            <v>Final</v>
          </cell>
        </row>
        <row r="71">
          <cell r="A71">
            <v>193</v>
          </cell>
          <cell r="B71" t="str">
            <v>Jair</v>
          </cell>
          <cell r="C71" t="str">
            <v>Camacho</v>
          </cell>
          <cell r="D71" t="str">
            <v>M</v>
          </cell>
          <cell r="E71" t="str">
            <v>Colombia</v>
          </cell>
          <cell r="F71" t="str">
            <v>Bogotá</v>
          </cell>
          <cell r="G71" t="str">
            <v>Final</v>
          </cell>
        </row>
        <row r="72">
          <cell r="A72">
            <v>192</v>
          </cell>
          <cell r="B72" t="str">
            <v xml:space="preserve">Abel </v>
          </cell>
          <cell r="C72" t="str">
            <v>Ramirez</v>
          </cell>
          <cell r="D72" t="str">
            <v>M</v>
          </cell>
          <cell r="E72" t="str">
            <v>Colombia</v>
          </cell>
          <cell r="F72" t="str">
            <v>Palmira</v>
          </cell>
          <cell r="G72" t="str">
            <v>Final</v>
          </cell>
        </row>
        <row r="73">
          <cell r="A73">
            <v>191</v>
          </cell>
          <cell r="B73" t="str">
            <v xml:space="preserve">Angelica </v>
          </cell>
          <cell r="C73" t="str">
            <v>Merlo</v>
          </cell>
          <cell r="D73" t="str">
            <v>F</v>
          </cell>
          <cell r="E73" t="str">
            <v>Colombia</v>
          </cell>
          <cell r="F73" t="str">
            <v>Bogotá</v>
          </cell>
          <cell r="G73" t="str">
            <v>Final</v>
          </cell>
        </row>
        <row r="74">
          <cell r="A74">
            <v>190</v>
          </cell>
          <cell r="B74" t="str">
            <v xml:space="preserve">Sebastian </v>
          </cell>
          <cell r="C74" t="str">
            <v>Gomez</v>
          </cell>
          <cell r="D74" t="str">
            <v>M</v>
          </cell>
          <cell r="E74" t="str">
            <v>España</v>
          </cell>
          <cell r="F74" t="str">
            <v>Madrid</v>
          </cell>
          <cell r="G74" t="str">
            <v>Final</v>
          </cell>
        </row>
        <row r="75">
          <cell r="A75">
            <v>189</v>
          </cell>
          <cell r="B75" t="str">
            <v>Erika</v>
          </cell>
          <cell r="C75" t="str">
            <v>Sanchez</v>
          </cell>
          <cell r="D75" t="str">
            <v>F</v>
          </cell>
          <cell r="E75" t="str">
            <v>Estados Unidos</v>
          </cell>
          <cell r="F75" t="str">
            <v>Chicago</v>
          </cell>
          <cell r="G75" t="str">
            <v>Final</v>
          </cell>
        </row>
        <row r="76">
          <cell r="A76">
            <v>188</v>
          </cell>
          <cell r="B76" t="str">
            <v>Mucher</v>
          </cell>
          <cell r="D76" t="str">
            <v>M</v>
          </cell>
          <cell r="E76" t="str">
            <v>Honduras</v>
          </cell>
          <cell r="F76" t="str">
            <v>San Pedro Sula</v>
          </cell>
          <cell r="G76" t="str">
            <v>Final</v>
          </cell>
        </row>
        <row r="77">
          <cell r="A77">
            <v>187</v>
          </cell>
          <cell r="B77" t="str">
            <v>La Parrilla</v>
          </cell>
          <cell r="D77" t="str">
            <v>F</v>
          </cell>
          <cell r="E77" t="str">
            <v>Honduras</v>
          </cell>
          <cell r="F77" t="str">
            <v>San Pedro Sula</v>
          </cell>
          <cell r="G77" t="str">
            <v>Final</v>
          </cell>
        </row>
        <row r="78">
          <cell r="A78">
            <v>186</v>
          </cell>
          <cell r="B78" t="str">
            <v xml:space="preserve">Juan </v>
          </cell>
          <cell r="C78" t="str">
            <v>Arriola</v>
          </cell>
          <cell r="D78" t="str">
            <v>M</v>
          </cell>
          <cell r="E78" t="str">
            <v>Honduras</v>
          </cell>
          <cell r="F78" t="str">
            <v>San Pedro Sula</v>
          </cell>
          <cell r="G78" t="str">
            <v>Final</v>
          </cell>
        </row>
        <row r="79">
          <cell r="A79">
            <v>185</v>
          </cell>
          <cell r="B79" t="str">
            <v xml:space="preserve">Yohanna </v>
          </cell>
          <cell r="C79" t="str">
            <v xml:space="preserve">Torrado </v>
          </cell>
          <cell r="D79" t="str">
            <v>F</v>
          </cell>
          <cell r="E79" t="str">
            <v>España</v>
          </cell>
          <cell r="F79" t="str">
            <v>Valencia</v>
          </cell>
          <cell r="G79" t="str">
            <v>Final</v>
          </cell>
        </row>
        <row r="80">
          <cell r="A80">
            <v>184</v>
          </cell>
          <cell r="B80" t="str">
            <v>Camilo</v>
          </cell>
          <cell r="C80" t="str">
            <v>Charum</v>
          </cell>
          <cell r="D80" t="str">
            <v>M</v>
          </cell>
          <cell r="E80" t="str">
            <v>Colombia</v>
          </cell>
          <cell r="F80" t="str">
            <v>Bogotá</v>
          </cell>
          <cell r="G80" t="str">
            <v>Final</v>
          </cell>
        </row>
        <row r="81">
          <cell r="A81">
            <v>183</v>
          </cell>
          <cell r="B81" t="str">
            <v>Gonzalo</v>
          </cell>
          <cell r="C81" t="str">
            <v>Loaiza</v>
          </cell>
          <cell r="D81" t="str">
            <v>M</v>
          </cell>
          <cell r="E81" t="str">
            <v>Estados Unidos</v>
          </cell>
          <cell r="F81" t="str">
            <v>Miami</v>
          </cell>
          <cell r="G81" t="str">
            <v>Final</v>
          </cell>
        </row>
        <row r="82">
          <cell r="A82">
            <v>182</v>
          </cell>
          <cell r="B82" t="str">
            <v>Juan Carlos</v>
          </cell>
          <cell r="C82" t="str">
            <v>Rojas</v>
          </cell>
          <cell r="D82" t="str">
            <v>M</v>
          </cell>
          <cell r="E82" t="str">
            <v>Mexico</v>
          </cell>
          <cell r="F82" t="str">
            <v>Villahermosa</v>
          </cell>
          <cell r="G82" t="str">
            <v>Final</v>
          </cell>
        </row>
        <row r="83">
          <cell r="A83">
            <v>181</v>
          </cell>
          <cell r="B83" t="str">
            <v xml:space="preserve">Javier </v>
          </cell>
          <cell r="C83" t="str">
            <v>Saldaña</v>
          </cell>
          <cell r="D83" t="str">
            <v>M</v>
          </cell>
          <cell r="E83" t="str">
            <v>Colombia</v>
          </cell>
          <cell r="F83" t="str">
            <v>Cajicá </v>
          </cell>
          <cell r="G83" t="str">
            <v>Final</v>
          </cell>
        </row>
        <row r="84">
          <cell r="A84">
            <v>180</v>
          </cell>
          <cell r="B84" t="str">
            <v>Ronald Papa</v>
          </cell>
          <cell r="C84" t="str">
            <v>Idarraga</v>
          </cell>
          <cell r="D84" t="str">
            <v>M</v>
          </cell>
          <cell r="E84" t="str">
            <v>Colombia</v>
          </cell>
          <cell r="F84" t="str">
            <v>Ibagué</v>
          </cell>
          <cell r="G84" t="str">
            <v>Final</v>
          </cell>
        </row>
        <row r="85">
          <cell r="A85">
            <v>179</v>
          </cell>
          <cell r="B85" t="str">
            <v>Faride</v>
          </cell>
          <cell r="D85" t="str">
            <v>F</v>
          </cell>
          <cell r="E85" t="str">
            <v>Estados Unidos</v>
          </cell>
          <cell r="F85" t="str">
            <v>Miami</v>
          </cell>
          <cell r="G85" t="str">
            <v>Final</v>
          </cell>
        </row>
        <row r="86">
          <cell r="A86" t="str">
            <v>178</v>
          </cell>
          <cell r="B86" t="str">
            <v xml:space="preserve">Jardany </v>
          </cell>
          <cell r="C86" t="str">
            <v>Parra</v>
          </cell>
          <cell r="D86" t="str">
            <v>M</v>
          </cell>
          <cell r="E86" t="str">
            <v>España</v>
          </cell>
          <cell r="F86" t="str">
            <v>Madrid</v>
          </cell>
          <cell r="G86" t="str">
            <v>Final</v>
          </cell>
        </row>
        <row r="87">
          <cell r="A87" t="str">
            <v>177</v>
          </cell>
          <cell r="B87" t="str">
            <v>Maicol</v>
          </cell>
          <cell r="C87" t="str">
            <v>Jodman</v>
          </cell>
          <cell r="D87" t="str">
            <v>M</v>
          </cell>
          <cell r="E87" t="str">
            <v>España</v>
          </cell>
          <cell r="F87" t="str">
            <v>Madrid</v>
          </cell>
          <cell r="G87" t="str">
            <v>Final</v>
          </cell>
        </row>
        <row r="88">
          <cell r="A88" t="str">
            <v>176</v>
          </cell>
          <cell r="B88" t="str">
            <v>Hernan Papa</v>
          </cell>
          <cell r="C88" t="str">
            <v>Coronado</v>
          </cell>
          <cell r="D88" t="str">
            <v>M</v>
          </cell>
          <cell r="E88" t="str">
            <v>Colombia</v>
          </cell>
          <cell r="F88" t="str">
            <v>Neiva</v>
          </cell>
          <cell r="G88" t="str">
            <v>Final</v>
          </cell>
        </row>
        <row r="89">
          <cell r="A89" t="str">
            <v>175</v>
          </cell>
          <cell r="B89" t="str">
            <v>Veronica</v>
          </cell>
          <cell r="C89" t="str">
            <v>Reinozo</v>
          </cell>
          <cell r="D89" t="str">
            <v>F</v>
          </cell>
          <cell r="E89" t="str">
            <v>Estados Unidos</v>
          </cell>
          <cell r="F89" t="str">
            <v>New Yersey</v>
          </cell>
          <cell r="G89" t="str">
            <v>Final</v>
          </cell>
        </row>
        <row r="90">
          <cell r="A90" t="str">
            <v>174</v>
          </cell>
          <cell r="B90" t="str">
            <v>Yolman</v>
          </cell>
          <cell r="C90" t="str">
            <v>Cepeda</v>
          </cell>
          <cell r="D90" t="str">
            <v>M</v>
          </cell>
          <cell r="E90" t="str">
            <v>Colombia</v>
          </cell>
          <cell r="F90" t="str">
            <v>Bogotá</v>
          </cell>
          <cell r="G90" t="str">
            <v>Final</v>
          </cell>
        </row>
        <row r="91">
          <cell r="A91" t="str">
            <v>173</v>
          </cell>
          <cell r="B91" t="str">
            <v>Xiomara</v>
          </cell>
          <cell r="C91" t="str">
            <v>Rojas</v>
          </cell>
          <cell r="D91" t="str">
            <v>F</v>
          </cell>
          <cell r="E91" t="str">
            <v>Colombia</v>
          </cell>
          <cell r="F91" t="str">
            <v>Bogotá</v>
          </cell>
          <cell r="G91" t="str">
            <v>Final</v>
          </cell>
        </row>
        <row r="92">
          <cell r="A92" t="str">
            <v>172</v>
          </cell>
          <cell r="B92" t="str">
            <v>Willinton</v>
          </cell>
          <cell r="C92" t="str">
            <v>Holguin</v>
          </cell>
          <cell r="D92" t="str">
            <v>M</v>
          </cell>
          <cell r="E92" t="str">
            <v>España</v>
          </cell>
          <cell r="F92" t="str">
            <v>Madrid</v>
          </cell>
          <cell r="G92" t="str">
            <v>Final</v>
          </cell>
        </row>
        <row r="93">
          <cell r="A93" t="str">
            <v>171</v>
          </cell>
          <cell r="B93" t="str">
            <v>William</v>
          </cell>
          <cell r="C93" t="str">
            <v>Guzman</v>
          </cell>
          <cell r="D93" t="str">
            <v>M</v>
          </cell>
          <cell r="E93" t="str">
            <v>Colombia</v>
          </cell>
          <cell r="F93" t="str">
            <v>Bogotá</v>
          </cell>
          <cell r="G93" t="str">
            <v>Final</v>
          </cell>
        </row>
        <row r="94">
          <cell r="A94" t="str">
            <v>170</v>
          </cell>
          <cell r="B94" t="str">
            <v>Vannesa</v>
          </cell>
          <cell r="C94" t="str">
            <v>Solano</v>
          </cell>
          <cell r="D94" t="str">
            <v>F</v>
          </cell>
          <cell r="E94" t="str">
            <v>Colombia</v>
          </cell>
          <cell r="F94" t="str">
            <v>Bogotá</v>
          </cell>
          <cell r="G94" t="str">
            <v>Final</v>
          </cell>
        </row>
        <row r="95">
          <cell r="A95" t="str">
            <v>169</v>
          </cell>
          <cell r="B95" t="str">
            <v>Tatiana</v>
          </cell>
          <cell r="C95" t="str">
            <v>Jodman</v>
          </cell>
          <cell r="D95" t="str">
            <v>F</v>
          </cell>
          <cell r="E95" t="str">
            <v>Estados Unidos</v>
          </cell>
          <cell r="F95" t="str">
            <v>New Yersey</v>
          </cell>
          <cell r="G95" t="str">
            <v>Final</v>
          </cell>
        </row>
        <row r="96">
          <cell r="A96" t="str">
            <v>168</v>
          </cell>
          <cell r="B96" t="str">
            <v>Stiven</v>
          </cell>
          <cell r="C96" t="str">
            <v>Triana</v>
          </cell>
          <cell r="D96" t="str">
            <v>M</v>
          </cell>
          <cell r="E96" t="str">
            <v>Colombia</v>
          </cell>
          <cell r="F96" t="str">
            <v>Bogotá</v>
          </cell>
          <cell r="G96" t="str">
            <v>Final</v>
          </cell>
        </row>
        <row r="97">
          <cell r="A97" t="str">
            <v>167</v>
          </cell>
          <cell r="B97" t="str">
            <v xml:space="preserve">Silvia </v>
          </cell>
          <cell r="C97" t="str">
            <v>Moyano</v>
          </cell>
          <cell r="D97" t="str">
            <v>F</v>
          </cell>
          <cell r="E97" t="str">
            <v>Colombia</v>
          </cell>
          <cell r="F97" t="str">
            <v>Ibagué</v>
          </cell>
          <cell r="G97" t="str">
            <v>Final</v>
          </cell>
        </row>
        <row r="98">
          <cell r="A98" t="str">
            <v>166</v>
          </cell>
          <cell r="B98" t="str">
            <v>Sebastian</v>
          </cell>
          <cell r="C98" t="str">
            <v>Saldaña</v>
          </cell>
          <cell r="D98" t="str">
            <v>M</v>
          </cell>
          <cell r="E98" t="str">
            <v>Colombia</v>
          </cell>
          <cell r="F98" t="str">
            <v>Bogotá</v>
          </cell>
          <cell r="G98" t="str">
            <v>Final</v>
          </cell>
        </row>
        <row r="99">
          <cell r="A99" t="str">
            <v>165</v>
          </cell>
          <cell r="B99" t="str">
            <v xml:space="preserve">Santiago </v>
          </cell>
          <cell r="C99" t="str">
            <v>Chirinos</v>
          </cell>
          <cell r="D99" t="str">
            <v>M</v>
          </cell>
          <cell r="E99" t="str">
            <v>Colombia</v>
          </cell>
          <cell r="F99" t="str">
            <v>Bogotá</v>
          </cell>
          <cell r="G99" t="str">
            <v>Final</v>
          </cell>
        </row>
        <row r="100">
          <cell r="A100" t="str">
            <v>164</v>
          </cell>
          <cell r="B100" t="str">
            <v>Sandra</v>
          </cell>
          <cell r="C100" t="str">
            <v>Rincon</v>
          </cell>
          <cell r="D100" t="str">
            <v>F</v>
          </cell>
          <cell r="E100" t="str">
            <v>Colombia</v>
          </cell>
          <cell r="F100" t="str">
            <v>Bogotá</v>
          </cell>
          <cell r="G100" t="str">
            <v>Final</v>
          </cell>
        </row>
        <row r="101">
          <cell r="A101" t="str">
            <v>163</v>
          </cell>
          <cell r="B101" t="str">
            <v>Ruben Dario</v>
          </cell>
          <cell r="C101" t="str">
            <v>Mejia</v>
          </cell>
          <cell r="D101" t="str">
            <v>M</v>
          </cell>
          <cell r="E101" t="str">
            <v>Colombia</v>
          </cell>
          <cell r="F101" t="str">
            <v>Cali</v>
          </cell>
          <cell r="G101" t="str">
            <v>Final</v>
          </cell>
        </row>
        <row r="102">
          <cell r="A102" t="str">
            <v>162</v>
          </cell>
          <cell r="B102" t="str">
            <v>Ronald</v>
          </cell>
          <cell r="C102" t="str">
            <v>Idarraga</v>
          </cell>
          <cell r="D102" t="str">
            <v>M</v>
          </cell>
          <cell r="E102" t="str">
            <v>Colombia</v>
          </cell>
          <cell r="F102" t="str">
            <v>Ibagué</v>
          </cell>
          <cell r="G102" t="str">
            <v>Final</v>
          </cell>
        </row>
        <row r="103">
          <cell r="A103" t="str">
            <v>161</v>
          </cell>
          <cell r="B103" t="str">
            <v>Roger</v>
          </cell>
          <cell r="C103" t="str">
            <v>Mora</v>
          </cell>
          <cell r="D103" t="str">
            <v>M</v>
          </cell>
          <cell r="E103" t="str">
            <v>España</v>
          </cell>
          <cell r="F103" t="str">
            <v>Madrid</v>
          </cell>
          <cell r="G103" t="str">
            <v>Final</v>
          </cell>
        </row>
        <row r="104">
          <cell r="A104" t="str">
            <v>160</v>
          </cell>
          <cell r="B104" t="str">
            <v>Rodrigo</v>
          </cell>
          <cell r="C104" t="str">
            <v>Ruiz</v>
          </cell>
          <cell r="D104" t="str">
            <v>M</v>
          </cell>
          <cell r="E104" t="str">
            <v>Colombia</v>
          </cell>
          <cell r="F104" t="str">
            <v>Bogotá</v>
          </cell>
          <cell r="G104" t="str">
            <v>Final</v>
          </cell>
        </row>
        <row r="105">
          <cell r="A105" t="str">
            <v>159</v>
          </cell>
          <cell r="B105" t="str">
            <v>Rita</v>
          </cell>
          <cell r="C105" t="str">
            <v>Orrego</v>
          </cell>
          <cell r="D105" t="str">
            <v>F</v>
          </cell>
          <cell r="E105" t="str">
            <v>Colombia</v>
          </cell>
          <cell r="F105" t="str">
            <v>Ibagué</v>
          </cell>
          <cell r="G105" t="str">
            <v>Final</v>
          </cell>
        </row>
        <row r="106">
          <cell r="A106" t="str">
            <v>158</v>
          </cell>
          <cell r="B106" t="str">
            <v xml:space="preserve">Richard </v>
          </cell>
          <cell r="C106" t="str">
            <v>Holguin</v>
          </cell>
          <cell r="D106" t="str">
            <v>M</v>
          </cell>
          <cell r="E106" t="str">
            <v>España</v>
          </cell>
          <cell r="F106" t="str">
            <v>Madrid</v>
          </cell>
          <cell r="G106" t="str">
            <v>Final</v>
          </cell>
        </row>
        <row r="107">
          <cell r="A107" t="str">
            <v>157</v>
          </cell>
          <cell r="B107" t="str">
            <v xml:space="preserve">Ricardo </v>
          </cell>
          <cell r="C107" t="str">
            <v>Peña</v>
          </cell>
          <cell r="D107" t="str">
            <v>M</v>
          </cell>
          <cell r="E107" t="str">
            <v>Colombia</v>
          </cell>
          <cell r="F107" t="str">
            <v>Cali</v>
          </cell>
          <cell r="G107" t="str">
            <v>Final</v>
          </cell>
        </row>
        <row r="108">
          <cell r="A108" t="str">
            <v>156</v>
          </cell>
          <cell r="B108" t="str">
            <v>Raul</v>
          </cell>
          <cell r="D108" t="str">
            <v>M</v>
          </cell>
          <cell r="E108" t="str">
            <v>Estados Unidos</v>
          </cell>
          <cell r="F108" t="str">
            <v>Miami</v>
          </cell>
          <cell r="G108" t="str">
            <v>Final</v>
          </cell>
        </row>
        <row r="109">
          <cell r="A109" t="str">
            <v>155</v>
          </cell>
          <cell r="B109" t="str">
            <v xml:space="preserve">Paula Andrea </v>
          </cell>
          <cell r="C109" t="str">
            <v xml:space="preserve">Hernan Forero </v>
          </cell>
          <cell r="D109" t="str">
            <v>F</v>
          </cell>
          <cell r="E109" t="str">
            <v>España</v>
          </cell>
          <cell r="F109" t="str">
            <v>Madrid</v>
          </cell>
          <cell r="G109" t="str">
            <v>Final</v>
          </cell>
        </row>
        <row r="110">
          <cell r="A110" t="str">
            <v>154</v>
          </cell>
          <cell r="B110" t="str">
            <v>Patricia</v>
          </cell>
          <cell r="C110" t="str">
            <v>Casallas</v>
          </cell>
          <cell r="D110" t="str">
            <v>F</v>
          </cell>
          <cell r="E110" t="str">
            <v>Colombia</v>
          </cell>
          <cell r="F110" t="str">
            <v>Bogotá</v>
          </cell>
          <cell r="G110" t="str">
            <v>Final</v>
          </cell>
        </row>
        <row r="111">
          <cell r="A111" t="str">
            <v>153</v>
          </cell>
          <cell r="B111" t="str">
            <v xml:space="preserve">Paola </v>
          </cell>
          <cell r="C111" t="str">
            <v>Alomia</v>
          </cell>
          <cell r="D111" t="str">
            <v>F</v>
          </cell>
          <cell r="E111" t="str">
            <v>Estados Unidos</v>
          </cell>
          <cell r="F111" t="str">
            <v>Miami</v>
          </cell>
          <cell r="G111" t="str">
            <v>Final</v>
          </cell>
        </row>
        <row r="112">
          <cell r="A112" t="str">
            <v>152</v>
          </cell>
          <cell r="B112" t="str">
            <v xml:space="preserve">Oscar </v>
          </cell>
          <cell r="C112" t="str">
            <v>Ramirez</v>
          </cell>
          <cell r="D112" t="str">
            <v>M</v>
          </cell>
          <cell r="E112" t="str">
            <v>Colombia</v>
          </cell>
          <cell r="F112" t="str">
            <v>Bogotá</v>
          </cell>
          <cell r="G112" t="str">
            <v>Final</v>
          </cell>
        </row>
        <row r="113">
          <cell r="A113" t="str">
            <v>151</v>
          </cell>
          <cell r="B113" t="str">
            <v xml:space="preserve">Oscar </v>
          </cell>
          <cell r="C113" t="str">
            <v>Ochoa</v>
          </cell>
          <cell r="D113" t="str">
            <v>M</v>
          </cell>
          <cell r="E113" t="str">
            <v>España</v>
          </cell>
          <cell r="F113" t="str">
            <v>Barcelona</v>
          </cell>
          <cell r="G113" t="str">
            <v>Final</v>
          </cell>
        </row>
        <row r="114">
          <cell r="A114" t="str">
            <v>150</v>
          </cell>
          <cell r="B114" t="str">
            <v xml:space="preserve">Oscar </v>
          </cell>
          <cell r="C114" t="str">
            <v>Leonardo</v>
          </cell>
          <cell r="D114" t="str">
            <v>M</v>
          </cell>
          <cell r="E114" t="str">
            <v>Colombia</v>
          </cell>
          <cell r="F114" t="str">
            <v>Ibagué</v>
          </cell>
          <cell r="G114" t="str">
            <v>Final</v>
          </cell>
        </row>
        <row r="115">
          <cell r="A115" t="str">
            <v>149</v>
          </cell>
          <cell r="B115" t="str">
            <v xml:space="preserve">Oscar </v>
          </cell>
          <cell r="C115" t="str">
            <v>Escobar</v>
          </cell>
          <cell r="D115" t="str">
            <v>M</v>
          </cell>
          <cell r="E115" t="str">
            <v>Colombia</v>
          </cell>
          <cell r="F115" t="str">
            <v>Ibagué</v>
          </cell>
          <cell r="G115" t="str">
            <v>Final</v>
          </cell>
        </row>
        <row r="116">
          <cell r="A116" t="str">
            <v>148</v>
          </cell>
          <cell r="B116" t="str">
            <v>Omar</v>
          </cell>
          <cell r="C116" t="str">
            <v>Espinel</v>
          </cell>
          <cell r="D116" t="str">
            <v>M</v>
          </cell>
          <cell r="E116" t="str">
            <v>Colombia</v>
          </cell>
          <cell r="F116" t="str">
            <v>Bogotá</v>
          </cell>
          <cell r="G116" t="str">
            <v>Final</v>
          </cell>
        </row>
        <row r="117">
          <cell r="A117" t="str">
            <v>147</v>
          </cell>
          <cell r="B117" t="str">
            <v>Olga</v>
          </cell>
          <cell r="C117" t="str">
            <v xml:space="preserve">Pascuas </v>
          </cell>
          <cell r="D117" t="str">
            <v>F</v>
          </cell>
          <cell r="E117" t="str">
            <v>Colombia</v>
          </cell>
          <cell r="F117" t="str">
            <v>Neiva</v>
          </cell>
          <cell r="G117" t="str">
            <v>Final</v>
          </cell>
        </row>
        <row r="118">
          <cell r="A118" t="str">
            <v>146</v>
          </cell>
          <cell r="B118" t="str">
            <v>Nilson</v>
          </cell>
          <cell r="C118" t="str">
            <v>Mechas</v>
          </cell>
          <cell r="D118" t="str">
            <v>M</v>
          </cell>
          <cell r="E118" t="str">
            <v>Colombia</v>
          </cell>
          <cell r="F118" t="str">
            <v>Ibagué</v>
          </cell>
          <cell r="G118" t="str">
            <v>Final</v>
          </cell>
        </row>
        <row r="119">
          <cell r="A119" t="str">
            <v>145</v>
          </cell>
          <cell r="B119" t="str">
            <v>Nestor</v>
          </cell>
          <cell r="C119" t="str">
            <v>Lara</v>
          </cell>
          <cell r="D119" t="str">
            <v>M</v>
          </cell>
          <cell r="E119" t="str">
            <v>Colombia</v>
          </cell>
          <cell r="F119" t="str">
            <v>Bogotá</v>
          </cell>
          <cell r="G119" t="str">
            <v>Final</v>
          </cell>
        </row>
        <row r="120">
          <cell r="A120" t="str">
            <v>144</v>
          </cell>
          <cell r="B120" t="str">
            <v>Nelson</v>
          </cell>
          <cell r="C120" t="str">
            <v>Jodman</v>
          </cell>
          <cell r="D120" t="str">
            <v>M</v>
          </cell>
          <cell r="E120" t="str">
            <v>España</v>
          </cell>
          <cell r="F120" t="str">
            <v>Madrid</v>
          </cell>
          <cell r="G120" t="str">
            <v>Final</v>
          </cell>
        </row>
        <row r="121">
          <cell r="A121" t="str">
            <v>143</v>
          </cell>
          <cell r="B121" t="str">
            <v>Miguel</v>
          </cell>
          <cell r="C121" t="str">
            <v>Kamara</v>
          </cell>
          <cell r="D121" t="str">
            <v>M</v>
          </cell>
          <cell r="E121" t="str">
            <v>Holanda</v>
          </cell>
          <cell r="F121" t="str">
            <v>Amsterdam</v>
          </cell>
          <cell r="G121" t="str">
            <v>Final</v>
          </cell>
        </row>
        <row r="122">
          <cell r="A122" t="str">
            <v>142</v>
          </cell>
          <cell r="B122" t="str">
            <v>Miguel</v>
          </cell>
          <cell r="C122" t="str">
            <v>Jodman</v>
          </cell>
          <cell r="D122" t="str">
            <v>M</v>
          </cell>
          <cell r="E122" t="str">
            <v>España</v>
          </cell>
          <cell r="F122" t="str">
            <v>Madrid</v>
          </cell>
          <cell r="G122" t="str">
            <v>Final</v>
          </cell>
        </row>
        <row r="123">
          <cell r="A123" t="str">
            <v>141</v>
          </cell>
          <cell r="B123" t="str">
            <v>Miguel</v>
          </cell>
          <cell r="C123" t="str">
            <v>Duarte Papa</v>
          </cell>
          <cell r="D123" t="str">
            <v>M</v>
          </cell>
          <cell r="E123" t="str">
            <v>Colombia</v>
          </cell>
          <cell r="F123" t="str">
            <v>Bogotá</v>
          </cell>
          <cell r="G123" t="str">
            <v>Final</v>
          </cell>
        </row>
        <row r="124">
          <cell r="A124" t="str">
            <v>140</v>
          </cell>
          <cell r="B124" t="str">
            <v>Miguel</v>
          </cell>
          <cell r="C124" t="str">
            <v>Bohorques</v>
          </cell>
          <cell r="D124" t="str">
            <v>M</v>
          </cell>
          <cell r="E124" t="str">
            <v>Colombia</v>
          </cell>
          <cell r="F124" t="str">
            <v>Bogotá</v>
          </cell>
          <cell r="G124" t="str">
            <v>Final</v>
          </cell>
        </row>
        <row r="125">
          <cell r="A125" t="str">
            <v>139</v>
          </cell>
          <cell r="B125" t="str">
            <v>Michelle</v>
          </cell>
          <cell r="C125" t="str">
            <v>Perfetti</v>
          </cell>
          <cell r="D125" t="str">
            <v>M</v>
          </cell>
          <cell r="E125" t="str">
            <v>Colombia</v>
          </cell>
          <cell r="F125" t="str">
            <v>Medellin</v>
          </cell>
          <cell r="G125" t="str">
            <v>Final</v>
          </cell>
        </row>
        <row r="126">
          <cell r="A126" t="str">
            <v>138</v>
          </cell>
          <cell r="B126" t="str">
            <v xml:space="preserve">Mery </v>
          </cell>
          <cell r="C126" t="str">
            <v>Diaz</v>
          </cell>
          <cell r="D126" t="str">
            <v>F</v>
          </cell>
          <cell r="E126" t="str">
            <v>Colombia</v>
          </cell>
          <cell r="F126" t="str">
            <v>Ibagué</v>
          </cell>
          <cell r="G126" t="str">
            <v>Final</v>
          </cell>
        </row>
        <row r="127">
          <cell r="A127" t="str">
            <v>137</v>
          </cell>
          <cell r="B127" t="str">
            <v>Melisa</v>
          </cell>
          <cell r="C127" t="str">
            <v>Mora</v>
          </cell>
          <cell r="D127" t="str">
            <v>F</v>
          </cell>
          <cell r="E127" t="str">
            <v>España</v>
          </cell>
          <cell r="F127" t="str">
            <v>Madrid</v>
          </cell>
          <cell r="G127" t="str">
            <v>Final</v>
          </cell>
        </row>
        <row r="128">
          <cell r="A128" t="str">
            <v>136</v>
          </cell>
          <cell r="B128" t="str">
            <v xml:space="preserve">Mauricio </v>
          </cell>
          <cell r="C128" t="str">
            <v>Maradiaga</v>
          </cell>
          <cell r="D128" t="str">
            <v>M</v>
          </cell>
          <cell r="E128" t="str">
            <v>Estados Unidos</v>
          </cell>
          <cell r="F128" t="str">
            <v>Miami</v>
          </cell>
          <cell r="G128" t="str">
            <v>Final</v>
          </cell>
        </row>
        <row r="129">
          <cell r="A129" t="str">
            <v>135</v>
          </cell>
          <cell r="B129" t="str">
            <v xml:space="preserve">Mauricio </v>
          </cell>
          <cell r="C129" t="str">
            <v>Casallas</v>
          </cell>
          <cell r="D129" t="str">
            <v>M</v>
          </cell>
          <cell r="E129" t="str">
            <v>Colombia</v>
          </cell>
          <cell r="F129" t="str">
            <v>Bogotá</v>
          </cell>
          <cell r="G129" t="str">
            <v>Final</v>
          </cell>
        </row>
        <row r="130">
          <cell r="A130" t="str">
            <v>134</v>
          </cell>
          <cell r="B130" t="str">
            <v xml:space="preserve">Mauricio </v>
          </cell>
          <cell r="C130" t="str">
            <v>Carrasquilla</v>
          </cell>
          <cell r="D130" t="str">
            <v>M</v>
          </cell>
          <cell r="E130" t="str">
            <v>Canadá </v>
          </cell>
          <cell r="F130" t="str">
            <v>Montréal </v>
          </cell>
          <cell r="G130" t="str">
            <v>Final</v>
          </cell>
        </row>
        <row r="131">
          <cell r="A131" t="str">
            <v>133</v>
          </cell>
          <cell r="B131" t="str">
            <v xml:space="preserve">Mauricio </v>
          </cell>
          <cell r="C131" t="str">
            <v>Bonilla</v>
          </cell>
          <cell r="D131" t="str">
            <v>M</v>
          </cell>
          <cell r="E131" t="str">
            <v>Colombia</v>
          </cell>
          <cell r="F131" t="str">
            <v>Bogotá</v>
          </cell>
          <cell r="G131" t="str">
            <v>Final</v>
          </cell>
        </row>
        <row r="132">
          <cell r="A132" t="str">
            <v>132</v>
          </cell>
          <cell r="B132" t="str">
            <v>Martin</v>
          </cell>
          <cell r="C132" t="str">
            <v>Barrera</v>
          </cell>
          <cell r="D132" t="str">
            <v>M</v>
          </cell>
          <cell r="E132" t="str">
            <v>Colombia</v>
          </cell>
          <cell r="F132" t="str">
            <v>Bogotá</v>
          </cell>
          <cell r="G132" t="str">
            <v>Final</v>
          </cell>
        </row>
        <row r="133">
          <cell r="A133" t="str">
            <v>131</v>
          </cell>
          <cell r="B133" t="str">
            <v xml:space="preserve">Martha </v>
          </cell>
          <cell r="C133" t="str">
            <v>Cely</v>
          </cell>
          <cell r="D133" t="str">
            <v>F</v>
          </cell>
          <cell r="E133" t="str">
            <v>España</v>
          </cell>
          <cell r="F133" t="str">
            <v>Madrid</v>
          </cell>
          <cell r="G133" t="str">
            <v>Final</v>
          </cell>
        </row>
        <row r="134">
          <cell r="A134" t="str">
            <v>130</v>
          </cell>
          <cell r="B134" t="str">
            <v>Mario</v>
          </cell>
          <cell r="C134" t="str">
            <v>Zuluaga</v>
          </cell>
          <cell r="D134" t="str">
            <v>M</v>
          </cell>
          <cell r="E134" t="str">
            <v>Colombia</v>
          </cell>
          <cell r="F134" t="str">
            <v>Bogotá</v>
          </cell>
          <cell r="G134" t="str">
            <v>Final</v>
          </cell>
        </row>
        <row r="135">
          <cell r="A135" t="str">
            <v>129</v>
          </cell>
          <cell r="B135" t="str">
            <v>Mario</v>
          </cell>
          <cell r="C135" t="str">
            <v>Matiz</v>
          </cell>
          <cell r="D135" t="str">
            <v>M</v>
          </cell>
          <cell r="E135" t="str">
            <v>Colombia</v>
          </cell>
          <cell r="F135" t="str">
            <v>Bogotá</v>
          </cell>
          <cell r="G135" t="str">
            <v>Final</v>
          </cell>
        </row>
        <row r="136">
          <cell r="A136" t="str">
            <v>128</v>
          </cell>
          <cell r="B136" t="str">
            <v xml:space="preserve">Mario </v>
          </cell>
          <cell r="C136" t="str">
            <v>Ortiz</v>
          </cell>
          <cell r="D136" t="str">
            <v>M</v>
          </cell>
          <cell r="E136" t="str">
            <v>Colombia</v>
          </cell>
          <cell r="F136" t="str">
            <v>Bogotá</v>
          </cell>
          <cell r="G136" t="str">
            <v>Final</v>
          </cell>
        </row>
        <row r="137">
          <cell r="A137" t="str">
            <v>127</v>
          </cell>
          <cell r="B137" t="str">
            <v xml:space="preserve">Maria Teresa </v>
          </cell>
          <cell r="C137" t="str">
            <v xml:space="preserve">Castro </v>
          </cell>
          <cell r="D137" t="str">
            <v>F</v>
          </cell>
          <cell r="E137" t="str">
            <v>Colombia</v>
          </cell>
          <cell r="F137" t="str">
            <v xml:space="preserve">Cali </v>
          </cell>
          <cell r="G137" t="str">
            <v>Final</v>
          </cell>
        </row>
        <row r="138">
          <cell r="A138" t="str">
            <v>126</v>
          </cell>
          <cell r="B138" t="str">
            <v>Maria Paula</v>
          </cell>
          <cell r="C138" t="str">
            <v>Cely</v>
          </cell>
          <cell r="D138" t="str">
            <v>F</v>
          </cell>
          <cell r="E138" t="str">
            <v>España</v>
          </cell>
          <cell r="F138" t="str">
            <v>Madrid</v>
          </cell>
          <cell r="G138" t="str">
            <v>Final</v>
          </cell>
        </row>
        <row r="139">
          <cell r="A139" t="str">
            <v>125</v>
          </cell>
          <cell r="B139" t="str">
            <v>Maria</v>
          </cell>
          <cell r="C139" t="str">
            <v>Duarte</v>
          </cell>
          <cell r="D139" t="str">
            <v>F</v>
          </cell>
          <cell r="E139" t="str">
            <v>Colombia</v>
          </cell>
          <cell r="F139" t="str">
            <v>Bogotá</v>
          </cell>
          <cell r="G139" t="str">
            <v>Final</v>
          </cell>
        </row>
        <row r="140">
          <cell r="A140" t="str">
            <v>124</v>
          </cell>
          <cell r="B140" t="str">
            <v>Maria</v>
          </cell>
          <cell r="C140" t="str">
            <v>Diaz</v>
          </cell>
          <cell r="D140" t="str">
            <v>F</v>
          </cell>
          <cell r="E140" t="str">
            <v>Colombia</v>
          </cell>
          <cell r="F140" t="str">
            <v>Ibagué</v>
          </cell>
          <cell r="G140" t="str">
            <v>Final</v>
          </cell>
        </row>
        <row r="141">
          <cell r="A141" t="str">
            <v>123</v>
          </cell>
          <cell r="B141" t="str">
            <v>Marcela</v>
          </cell>
          <cell r="C141" t="str">
            <v>Mejia</v>
          </cell>
          <cell r="D141" t="str">
            <v>F</v>
          </cell>
          <cell r="E141" t="str">
            <v>Estados Unidos</v>
          </cell>
          <cell r="F141" t="str">
            <v>New Yersey</v>
          </cell>
          <cell r="G141" t="str">
            <v>Final</v>
          </cell>
        </row>
        <row r="142">
          <cell r="A142" t="str">
            <v>122</v>
          </cell>
          <cell r="B142" t="str">
            <v>Diana Marcela</v>
          </cell>
          <cell r="C142" t="str">
            <v>Torres Parra</v>
          </cell>
          <cell r="D142" t="str">
            <v>F</v>
          </cell>
          <cell r="E142" t="str">
            <v>Estados Unidos</v>
          </cell>
          <cell r="F142" t="str">
            <v>Miami</v>
          </cell>
          <cell r="G142" t="str">
            <v>Final</v>
          </cell>
        </row>
        <row r="143">
          <cell r="A143" t="str">
            <v>121</v>
          </cell>
          <cell r="B143" t="str">
            <v>Luz Sandra</v>
          </cell>
          <cell r="C143" t="str">
            <v>Quintero</v>
          </cell>
          <cell r="D143" t="str">
            <v>F</v>
          </cell>
          <cell r="E143" t="str">
            <v>Colombia</v>
          </cell>
          <cell r="F143" t="str">
            <v>Bogotá</v>
          </cell>
          <cell r="G143" t="str">
            <v>Final</v>
          </cell>
        </row>
        <row r="144">
          <cell r="A144" t="str">
            <v>120</v>
          </cell>
          <cell r="B144" t="str">
            <v>Luis</v>
          </cell>
          <cell r="C144" t="str">
            <v>Sanchez</v>
          </cell>
          <cell r="D144" t="str">
            <v>M</v>
          </cell>
          <cell r="E144" t="str">
            <v>Canadá </v>
          </cell>
          <cell r="F144" t="str">
            <v>Toronto</v>
          </cell>
          <cell r="G144" t="str">
            <v>Final</v>
          </cell>
        </row>
        <row r="145">
          <cell r="A145" t="str">
            <v>119</v>
          </cell>
          <cell r="B145" t="str">
            <v>Luis Gonzalo</v>
          </cell>
          <cell r="C145" t="str">
            <v>Peña</v>
          </cell>
          <cell r="D145" t="str">
            <v>M</v>
          </cell>
          <cell r="E145" t="str">
            <v>Colombia</v>
          </cell>
          <cell r="F145" t="str">
            <v>Ibagué</v>
          </cell>
          <cell r="G145" t="str">
            <v>Final</v>
          </cell>
        </row>
        <row r="146">
          <cell r="A146" t="str">
            <v>118</v>
          </cell>
          <cell r="B146" t="str">
            <v>Lucia</v>
          </cell>
          <cell r="C146" t="str">
            <v>Garcia</v>
          </cell>
          <cell r="D146" t="str">
            <v>F</v>
          </cell>
          <cell r="E146" t="str">
            <v>Colombia</v>
          </cell>
          <cell r="F146" t="str">
            <v>Bogotá</v>
          </cell>
          <cell r="G146" t="str">
            <v>Final</v>
          </cell>
        </row>
        <row r="147">
          <cell r="A147" t="str">
            <v>117</v>
          </cell>
          <cell r="B147" t="str">
            <v xml:space="preserve">Leonardo </v>
          </cell>
          <cell r="C147" t="str">
            <v>Rojas</v>
          </cell>
          <cell r="D147" t="str">
            <v>M</v>
          </cell>
          <cell r="E147" t="str">
            <v>Colombia</v>
          </cell>
          <cell r="F147" t="str">
            <v>Bogotá</v>
          </cell>
          <cell r="G147" t="str">
            <v>Final</v>
          </cell>
        </row>
        <row r="148">
          <cell r="A148" t="str">
            <v>116</v>
          </cell>
          <cell r="B148" t="str">
            <v xml:space="preserve">Leonardo </v>
          </cell>
          <cell r="C148" t="str">
            <v>Mechas</v>
          </cell>
          <cell r="D148" t="str">
            <v>M</v>
          </cell>
          <cell r="E148" t="str">
            <v>Colombia</v>
          </cell>
          <cell r="F148" t="str">
            <v>Ibagué</v>
          </cell>
          <cell r="G148" t="str">
            <v>Final</v>
          </cell>
        </row>
        <row r="149">
          <cell r="A149" t="str">
            <v>115</v>
          </cell>
          <cell r="B149" t="str">
            <v>Karoline</v>
          </cell>
          <cell r="C149" t="str">
            <v>Mora</v>
          </cell>
          <cell r="D149" t="str">
            <v>F</v>
          </cell>
          <cell r="E149" t="str">
            <v>España</v>
          </cell>
          <cell r="F149" t="str">
            <v>Madrid</v>
          </cell>
          <cell r="G149" t="str">
            <v>Final</v>
          </cell>
        </row>
        <row r="150">
          <cell r="A150" t="str">
            <v>114</v>
          </cell>
          <cell r="B150" t="str">
            <v xml:space="preserve">Karen </v>
          </cell>
          <cell r="C150" t="str">
            <v>Rubiola</v>
          </cell>
          <cell r="D150" t="str">
            <v>F</v>
          </cell>
          <cell r="E150" t="str">
            <v>Colombia</v>
          </cell>
          <cell r="F150" t="str">
            <v>Medellin</v>
          </cell>
          <cell r="G150" t="str">
            <v>Final</v>
          </cell>
        </row>
        <row r="151">
          <cell r="A151" t="str">
            <v>113</v>
          </cell>
          <cell r="B151" t="str">
            <v>Junior</v>
          </cell>
          <cell r="C151" t="str">
            <v>Jodman</v>
          </cell>
          <cell r="D151" t="str">
            <v>M</v>
          </cell>
          <cell r="E151" t="str">
            <v>España</v>
          </cell>
          <cell r="F151" t="str">
            <v>Madrid</v>
          </cell>
          <cell r="G151" t="str">
            <v>Final</v>
          </cell>
        </row>
        <row r="152">
          <cell r="A152" t="str">
            <v>112</v>
          </cell>
          <cell r="B152" t="str">
            <v>Julian Andres</v>
          </cell>
          <cell r="C152" t="str">
            <v>Rozo</v>
          </cell>
          <cell r="D152" t="str">
            <v>M</v>
          </cell>
          <cell r="E152" t="str">
            <v>Colombia</v>
          </cell>
          <cell r="F152" t="str">
            <v>Ibagué</v>
          </cell>
          <cell r="G152" t="str">
            <v>Final</v>
          </cell>
        </row>
        <row r="153">
          <cell r="A153" t="str">
            <v>111</v>
          </cell>
          <cell r="B153" t="str">
            <v>Julian Andres</v>
          </cell>
          <cell r="C153" t="str">
            <v>Paredes</v>
          </cell>
          <cell r="D153" t="str">
            <v>M</v>
          </cell>
          <cell r="E153" t="str">
            <v>Colombia</v>
          </cell>
          <cell r="F153" t="str">
            <v>Bogotá</v>
          </cell>
          <cell r="G153" t="str">
            <v>Final</v>
          </cell>
        </row>
        <row r="154">
          <cell r="A154" t="str">
            <v>109</v>
          </cell>
          <cell r="B154" t="str">
            <v>Juan Jose</v>
          </cell>
          <cell r="C154" t="str">
            <v>Soteldo</v>
          </cell>
          <cell r="D154" t="str">
            <v>M</v>
          </cell>
          <cell r="E154" t="str">
            <v>Colombia</v>
          </cell>
          <cell r="F154" t="str">
            <v>Chía </v>
          </cell>
          <cell r="G154" t="str">
            <v>Final</v>
          </cell>
        </row>
        <row r="155">
          <cell r="A155" t="str">
            <v>108</v>
          </cell>
          <cell r="B155" t="str">
            <v>Juan Felipe</v>
          </cell>
          <cell r="C155" t="str">
            <v>Parra</v>
          </cell>
          <cell r="D155" t="str">
            <v>M</v>
          </cell>
          <cell r="E155" t="str">
            <v>Colombia</v>
          </cell>
          <cell r="F155" t="str">
            <v>Bogotá</v>
          </cell>
          <cell r="G155" t="str">
            <v>Final</v>
          </cell>
        </row>
        <row r="156">
          <cell r="A156" t="str">
            <v>107</v>
          </cell>
          <cell r="B156" t="str">
            <v xml:space="preserve">Juan Diego </v>
          </cell>
          <cell r="C156" t="str">
            <v>Lopez</v>
          </cell>
          <cell r="D156" t="str">
            <v>M</v>
          </cell>
          <cell r="E156" t="str">
            <v>Colombia</v>
          </cell>
          <cell r="F156" t="str">
            <v>Bogotá</v>
          </cell>
          <cell r="G156" t="str">
            <v>Final</v>
          </cell>
        </row>
        <row r="157">
          <cell r="A157" t="str">
            <v>106</v>
          </cell>
          <cell r="B157" t="str">
            <v>Juan David</v>
          </cell>
          <cell r="C157" t="str">
            <v>Beltran</v>
          </cell>
          <cell r="D157" t="str">
            <v>M</v>
          </cell>
          <cell r="E157" t="str">
            <v>Holanda</v>
          </cell>
          <cell r="F157" t="str">
            <v>Amsterdam</v>
          </cell>
          <cell r="G157" t="str">
            <v>Final</v>
          </cell>
        </row>
        <row r="158">
          <cell r="A158" t="str">
            <v>105</v>
          </cell>
          <cell r="B158" t="str">
            <v xml:space="preserve">Juan </v>
          </cell>
          <cell r="C158" t="str">
            <v>Zarama</v>
          </cell>
          <cell r="D158" t="str">
            <v>M</v>
          </cell>
          <cell r="E158" t="str">
            <v>España</v>
          </cell>
          <cell r="F158" t="str">
            <v>Madrid</v>
          </cell>
          <cell r="G158" t="str">
            <v>Final</v>
          </cell>
        </row>
        <row r="159">
          <cell r="A159" t="str">
            <v>104</v>
          </cell>
          <cell r="B159" t="str">
            <v>Jorge Enrique</v>
          </cell>
          <cell r="C159" t="str">
            <v>Lopez</v>
          </cell>
          <cell r="D159" t="str">
            <v>M</v>
          </cell>
          <cell r="E159" t="str">
            <v>Colombia</v>
          </cell>
          <cell r="F159" t="str">
            <v>Ibagué</v>
          </cell>
          <cell r="G159" t="str">
            <v>Final</v>
          </cell>
        </row>
        <row r="160">
          <cell r="A160" t="str">
            <v>103</v>
          </cell>
          <cell r="B160" t="str">
            <v xml:space="preserve">Jorge </v>
          </cell>
          <cell r="C160" t="str">
            <v>Ordoñez</v>
          </cell>
          <cell r="D160" t="str">
            <v>M</v>
          </cell>
          <cell r="E160" t="str">
            <v>España</v>
          </cell>
          <cell r="F160" t="str">
            <v>Madrid</v>
          </cell>
          <cell r="G160" t="str">
            <v>Final</v>
          </cell>
        </row>
        <row r="161">
          <cell r="A161" t="str">
            <v>102</v>
          </cell>
          <cell r="B161" t="str">
            <v xml:space="preserve">Jorge </v>
          </cell>
          <cell r="C161" t="str">
            <v>Niño</v>
          </cell>
          <cell r="D161" t="str">
            <v>M</v>
          </cell>
          <cell r="E161" t="str">
            <v>Colombia</v>
          </cell>
          <cell r="F161" t="str">
            <v>Bogotá</v>
          </cell>
          <cell r="G161" t="str">
            <v>Final</v>
          </cell>
        </row>
        <row r="162">
          <cell r="A162" t="str">
            <v>101</v>
          </cell>
          <cell r="B162" t="str">
            <v xml:space="preserve">Jorge </v>
          </cell>
          <cell r="C162" t="str">
            <v>Almonacid</v>
          </cell>
          <cell r="D162" t="str">
            <v>M</v>
          </cell>
          <cell r="E162" t="str">
            <v>Colombia</v>
          </cell>
          <cell r="F162" t="str">
            <v>Ibagué</v>
          </cell>
          <cell r="G162" t="str">
            <v>Final</v>
          </cell>
        </row>
        <row r="163">
          <cell r="A163" t="str">
            <v>100</v>
          </cell>
          <cell r="B163" t="str">
            <v xml:space="preserve">Jodman </v>
          </cell>
          <cell r="C163" t="str">
            <v>Mora</v>
          </cell>
          <cell r="D163" t="str">
            <v>M</v>
          </cell>
          <cell r="E163" t="str">
            <v>España</v>
          </cell>
          <cell r="F163" t="str">
            <v>Madrid</v>
          </cell>
          <cell r="G163" t="str">
            <v>Final</v>
          </cell>
        </row>
        <row r="164">
          <cell r="A164" t="str">
            <v>099</v>
          </cell>
          <cell r="B164" t="str">
            <v xml:space="preserve">Jhon </v>
          </cell>
          <cell r="C164" t="str">
            <v>Villakiran</v>
          </cell>
          <cell r="D164" t="str">
            <v>M</v>
          </cell>
          <cell r="E164" t="str">
            <v>España</v>
          </cell>
          <cell r="F164" t="str">
            <v>Madrid</v>
          </cell>
          <cell r="G164" t="str">
            <v>Final</v>
          </cell>
        </row>
        <row r="165">
          <cell r="A165" t="str">
            <v>098</v>
          </cell>
          <cell r="B165" t="str">
            <v xml:space="preserve">Jhon </v>
          </cell>
          <cell r="C165" t="str">
            <v xml:space="preserve">Vargas </v>
          </cell>
          <cell r="D165" t="str">
            <v>M</v>
          </cell>
          <cell r="E165" t="str">
            <v>Colombia</v>
          </cell>
          <cell r="F165" t="str">
            <v>Bogotá</v>
          </cell>
          <cell r="G165" t="str">
            <v>Final</v>
          </cell>
        </row>
        <row r="166">
          <cell r="A166" t="str">
            <v>097</v>
          </cell>
          <cell r="B166" t="str">
            <v xml:space="preserve">Jhon </v>
          </cell>
          <cell r="C166" t="str">
            <v>Muñoz</v>
          </cell>
          <cell r="D166" t="str">
            <v>M</v>
          </cell>
          <cell r="E166" t="str">
            <v>España</v>
          </cell>
          <cell r="F166" t="str">
            <v>Madrid</v>
          </cell>
          <cell r="G166" t="str">
            <v>Final</v>
          </cell>
        </row>
        <row r="167">
          <cell r="A167" t="str">
            <v>096</v>
          </cell>
          <cell r="B167" t="str">
            <v xml:space="preserve">Jhon </v>
          </cell>
          <cell r="C167" t="str">
            <v>Garzon</v>
          </cell>
          <cell r="D167" t="str">
            <v>M</v>
          </cell>
          <cell r="E167" t="str">
            <v>Colombia</v>
          </cell>
          <cell r="F167" t="str">
            <v>Zipaquirá </v>
          </cell>
          <cell r="G167" t="str">
            <v>Final</v>
          </cell>
        </row>
        <row r="168">
          <cell r="A168" t="str">
            <v>095</v>
          </cell>
          <cell r="B168" t="str">
            <v xml:space="preserve">Javier </v>
          </cell>
          <cell r="C168" t="str">
            <v>Diaz</v>
          </cell>
          <cell r="D168" t="str">
            <v>M</v>
          </cell>
          <cell r="E168" t="str">
            <v>Colombia</v>
          </cell>
          <cell r="F168" t="str">
            <v>Bogotá</v>
          </cell>
          <cell r="G168" t="str">
            <v>Final</v>
          </cell>
        </row>
        <row r="169">
          <cell r="A169" t="str">
            <v>094</v>
          </cell>
          <cell r="B169" t="str">
            <v xml:space="preserve">Javier </v>
          </cell>
          <cell r="C169" t="str">
            <v>Rengifo</v>
          </cell>
          <cell r="D169" t="str">
            <v>M</v>
          </cell>
          <cell r="E169" t="str">
            <v>Colombia</v>
          </cell>
          <cell r="F169" t="str">
            <v>Ibagué</v>
          </cell>
          <cell r="G169" t="str">
            <v>Final</v>
          </cell>
        </row>
        <row r="170">
          <cell r="A170" t="str">
            <v>093</v>
          </cell>
          <cell r="B170" t="str">
            <v xml:space="preserve">Javier </v>
          </cell>
          <cell r="C170" t="str">
            <v>Muñoz</v>
          </cell>
          <cell r="D170" t="str">
            <v>M</v>
          </cell>
          <cell r="E170" t="str">
            <v>Colombia</v>
          </cell>
          <cell r="F170" t="str">
            <v>Bogotá</v>
          </cell>
          <cell r="G170" t="str">
            <v>Final</v>
          </cell>
        </row>
        <row r="171">
          <cell r="A171" t="str">
            <v>092</v>
          </cell>
          <cell r="B171" t="str">
            <v>Jan</v>
          </cell>
          <cell r="C171" t="str">
            <v>Garcia</v>
          </cell>
          <cell r="D171" t="str">
            <v>M</v>
          </cell>
          <cell r="E171" t="str">
            <v>Colombia</v>
          </cell>
          <cell r="F171" t="str">
            <v>Medellin</v>
          </cell>
          <cell r="G171" t="str">
            <v>Revendedor</v>
          </cell>
        </row>
        <row r="172">
          <cell r="A172" t="str">
            <v>091</v>
          </cell>
          <cell r="B172" t="str">
            <v>James</v>
          </cell>
          <cell r="C172" t="str">
            <v>Uribe</v>
          </cell>
          <cell r="D172" t="str">
            <v>M</v>
          </cell>
          <cell r="E172" t="str">
            <v>Colombia</v>
          </cell>
          <cell r="F172" t="str">
            <v>Medellin</v>
          </cell>
          <cell r="G172" t="str">
            <v>Final</v>
          </cell>
        </row>
        <row r="173">
          <cell r="A173" t="str">
            <v>090</v>
          </cell>
          <cell r="B173" t="str">
            <v>Rosemary</v>
          </cell>
          <cell r="C173" t="str">
            <v>Uribe</v>
          </cell>
          <cell r="D173" t="str">
            <v>F</v>
          </cell>
          <cell r="E173" t="str">
            <v>Colombia</v>
          </cell>
          <cell r="F173" t="str">
            <v>Medellin</v>
          </cell>
          <cell r="G173" t="str">
            <v>Final</v>
          </cell>
        </row>
        <row r="174">
          <cell r="A174" t="str">
            <v>089</v>
          </cell>
          <cell r="B174" t="str">
            <v>Jair</v>
          </cell>
          <cell r="C174" t="str">
            <v>Diaz</v>
          </cell>
          <cell r="D174" t="str">
            <v>M</v>
          </cell>
          <cell r="E174" t="str">
            <v>España</v>
          </cell>
          <cell r="F174" t="str">
            <v>Madrid</v>
          </cell>
          <cell r="G174" t="str">
            <v>Final</v>
          </cell>
        </row>
        <row r="175">
          <cell r="A175" t="str">
            <v>088</v>
          </cell>
          <cell r="B175" t="str">
            <v>Jacobo</v>
          </cell>
          <cell r="C175" t="str">
            <v>Willy</v>
          </cell>
          <cell r="D175" t="str">
            <v>M</v>
          </cell>
          <cell r="E175" t="str">
            <v>Colombia</v>
          </cell>
          <cell r="F175" t="str">
            <v>Bogotá</v>
          </cell>
          <cell r="G175" t="str">
            <v>Final</v>
          </cell>
        </row>
        <row r="176">
          <cell r="A176" t="str">
            <v>087</v>
          </cell>
          <cell r="B176" t="str">
            <v>Ivan</v>
          </cell>
          <cell r="C176" t="str">
            <v>Peñarete</v>
          </cell>
          <cell r="D176" t="str">
            <v>M</v>
          </cell>
          <cell r="E176" t="str">
            <v>Colombia</v>
          </cell>
          <cell r="F176" t="str">
            <v>Bogotá</v>
          </cell>
          <cell r="G176" t="str">
            <v>Final</v>
          </cell>
        </row>
        <row r="177">
          <cell r="A177" t="str">
            <v>086</v>
          </cell>
          <cell r="B177" t="str">
            <v xml:space="preserve">Ivan </v>
          </cell>
          <cell r="C177" t="str">
            <v>Brijaldo</v>
          </cell>
          <cell r="D177" t="str">
            <v>M</v>
          </cell>
          <cell r="E177" t="str">
            <v>Colombia</v>
          </cell>
          <cell r="F177" t="str">
            <v>Fusagasugá</v>
          </cell>
          <cell r="G177" t="str">
            <v>Final</v>
          </cell>
        </row>
        <row r="178">
          <cell r="A178" t="str">
            <v>085</v>
          </cell>
          <cell r="B178" t="str">
            <v>Hoover</v>
          </cell>
          <cell r="C178" t="str">
            <v>Chamorro</v>
          </cell>
          <cell r="D178" t="str">
            <v>M</v>
          </cell>
          <cell r="E178" t="str">
            <v>Colombia</v>
          </cell>
          <cell r="F178" t="str">
            <v>Ibagué</v>
          </cell>
          <cell r="G178" t="str">
            <v>Final</v>
          </cell>
        </row>
        <row r="179">
          <cell r="A179" t="str">
            <v>084</v>
          </cell>
          <cell r="B179" t="str">
            <v>Hernan</v>
          </cell>
          <cell r="C179" t="str">
            <v>Coronado</v>
          </cell>
          <cell r="D179" t="str">
            <v>M</v>
          </cell>
          <cell r="E179" t="str">
            <v>Colombia</v>
          </cell>
          <cell r="F179" t="str">
            <v>Neiva</v>
          </cell>
          <cell r="G179" t="str">
            <v>Final</v>
          </cell>
        </row>
        <row r="180">
          <cell r="A180" t="str">
            <v>083</v>
          </cell>
          <cell r="B180" t="str">
            <v xml:space="preserve">Harry  </v>
          </cell>
          <cell r="C180" t="str">
            <v>Brijaldo</v>
          </cell>
          <cell r="D180" t="str">
            <v>M</v>
          </cell>
          <cell r="E180" t="str">
            <v>Colombia</v>
          </cell>
          <cell r="F180" t="str">
            <v>Boyacá </v>
          </cell>
          <cell r="G180" t="str">
            <v>Final</v>
          </cell>
        </row>
        <row r="181">
          <cell r="A181" t="str">
            <v>082</v>
          </cell>
          <cell r="B181" t="str">
            <v>Jean Paul</v>
          </cell>
          <cell r="C181" t="str">
            <v>Brijaldo</v>
          </cell>
          <cell r="D181" t="str">
            <v>M</v>
          </cell>
          <cell r="E181" t="str">
            <v>Colombia</v>
          </cell>
          <cell r="F181" t="str">
            <v>Bogotá</v>
          </cell>
          <cell r="G181" t="str">
            <v>Final</v>
          </cell>
        </row>
        <row r="182">
          <cell r="A182" t="str">
            <v>081</v>
          </cell>
          <cell r="B182" t="str">
            <v>Harold</v>
          </cell>
          <cell r="C182" t="str">
            <v>Orrego</v>
          </cell>
          <cell r="D182" t="str">
            <v>M</v>
          </cell>
          <cell r="E182" t="str">
            <v>Colombia</v>
          </cell>
          <cell r="F182" t="str">
            <v>Ibagué</v>
          </cell>
          <cell r="G182" t="str">
            <v>Final</v>
          </cell>
        </row>
        <row r="183">
          <cell r="A183" t="str">
            <v>080</v>
          </cell>
          <cell r="B183" t="str">
            <v>Gustavo</v>
          </cell>
          <cell r="C183" t="str">
            <v>Jodman</v>
          </cell>
          <cell r="D183" t="str">
            <v>M</v>
          </cell>
          <cell r="E183" t="str">
            <v>España</v>
          </cell>
          <cell r="F183" t="str">
            <v>Madrid</v>
          </cell>
          <cell r="G183" t="str">
            <v>Final</v>
          </cell>
        </row>
        <row r="184">
          <cell r="A184" t="str">
            <v>079</v>
          </cell>
          <cell r="B184" t="str">
            <v xml:space="preserve">Gustavo </v>
          </cell>
          <cell r="C184" t="str">
            <v>Rojas</v>
          </cell>
          <cell r="D184" t="str">
            <v>M</v>
          </cell>
          <cell r="E184" t="str">
            <v>Colombia</v>
          </cell>
          <cell r="F184" t="str">
            <v>Bogotá</v>
          </cell>
          <cell r="G184" t="str">
            <v>Final</v>
          </cell>
        </row>
        <row r="185">
          <cell r="A185" t="str">
            <v>078</v>
          </cell>
          <cell r="B185" t="str">
            <v xml:space="preserve">Gustavo </v>
          </cell>
          <cell r="C185" t="str">
            <v>Cardona</v>
          </cell>
          <cell r="D185" t="str">
            <v>M</v>
          </cell>
          <cell r="E185" t="str">
            <v>Canadá </v>
          </cell>
          <cell r="F185" t="str">
            <v>Toronto</v>
          </cell>
          <cell r="G185" t="str">
            <v>Final</v>
          </cell>
        </row>
        <row r="186">
          <cell r="A186" t="str">
            <v>077</v>
          </cell>
          <cell r="B186" t="str">
            <v>Guillermo</v>
          </cell>
          <cell r="C186" t="str">
            <v>Acevedo</v>
          </cell>
          <cell r="D186" t="str">
            <v>M</v>
          </cell>
          <cell r="E186" t="str">
            <v>Colombia</v>
          </cell>
          <cell r="F186" t="str">
            <v>Mosquera </v>
          </cell>
          <cell r="G186" t="str">
            <v>Final</v>
          </cell>
        </row>
        <row r="187">
          <cell r="A187" t="str">
            <v>076</v>
          </cell>
          <cell r="B187" t="str">
            <v>Gloria</v>
          </cell>
          <cell r="C187" t="str">
            <v>Piñeres</v>
          </cell>
          <cell r="D187" t="str">
            <v>F</v>
          </cell>
          <cell r="E187" t="str">
            <v>Colombia</v>
          </cell>
          <cell r="F187" t="str">
            <v>Bogotá</v>
          </cell>
          <cell r="G187" t="str">
            <v>Final</v>
          </cell>
        </row>
        <row r="188">
          <cell r="A188" t="str">
            <v>075</v>
          </cell>
          <cell r="B188" t="str">
            <v>Giovanni</v>
          </cell>
          <cell r="C188" t="str">
            <v>Castro</v>
          </cell>
          <cell r="D188" t="str">
            <v>M</v>
          </cell>
          <cell r="E188" t="str">
            <v>Colombia</v>
          </cell>
          <cell r="F188" t="str">
            <v>Bogotá</v>
          </cell>
          <cell r="G188" t="str">
            <v>Final</v>
          </cell>
        </row>
        <row r="189">
          <cell r="A189" t="str">
            <v>074</v>
          </cell>
          <cell r="B189" t="str">
            <v>Gimena</v>
          </cell>
          <cell r="C189" t="str">
            <v>Tascon</v>
          </cell>
          <cell r="D189" t="str">
            <v>F</v>
          </cell>
          <cell r="E189" t="str">
            <v>Colombia</v>
          </cell>
          <cell r="F189" t="str">
            <v>Ibagué</v>
          </cell>
          <cell r="G189" t="str">
            <v>Final</v>
          </cell>
        </row>
        <row r="190">
          <cell r="A190" t="str">
            <v>073</v>
          </cell>
          <cell r="B190" t="str">
            <v>Papa</v>
          </cell>
          <cell r="C190" t="str">
            <v>Casallas</v>
          </cell>
          <cell r="D190" t="str">
            <v>M</v>
          </cell>
          <cell r="E190" t="str">
            <v>Colombia</v>
          </cell>
          <cell r="F190" t="str">
            <v>Bogotá</v>
          </cell>
          <cell r="G190" t="str">
            <v>Final</v>
          </cell>
        </row>
        <row r="191">
          <cell r="A191" t="str">
            <v>072</v>
          </cell>
          <cell r="B191" t="str">
            <v>Gildardo</v>
          </cell>
          <cell r="C191" t="str">
            <v>Casallas</v>
          </cell>
          <cell r="D191" t="str">
            <v>M</v>
          </cell>
          <cell r="E191" t="str">
            <v>Colombia</v>
          </cell>
          <cell r="F191" t="str">
            <v>Bogotá</v>
          </cell>
          <cell r="G191" t="str">
            <v>Final</v>
          </cell>
        </row>
        <row r="192">
          <cell r="A192" t="str">
            <v>071</v>
          </cell>
          <cell r="B192" t="str">
            <v>German</v>
          </cell>
          <cell r="C192" t="str">
            <v>Sandoval</v>
          </cell>
          <cell r="D192" t="str">
            <v>M</v>
          </cell>
          <cell r="E192" t="str">
            <v>Colombia</v>
          </cell>
          <cell r="F192" t="str">
            <v>Ibagué</v>
          </cell>
          <cell r="G192" t="str">
            <v>Final</v>
          </cell>
        </row>
        <row r="193">
          <cell r="A193" t="str">
            <v>070</v>
          </cell>
          <cell r="B193" t="str">
            <v xml:space="preserve">George </v>
          </cell>
          <cell r="C193" t="str">
            <v>Ospina</v>
          </cell>
          <cell r="D193" t="str">
            <v>M</v>
          </cell>
          <cell r="E193" t="str">
            <v>Estados Unidos</v>
          </cell>
          <cell r="F193" t="str">
            <v>Miami</v>
          </cell>
          <cell r="G193" t="str">
            <v>Final</v>
          </cell>
        </row>
        <row r="194">
          <cell r="A194" t="str">
            <v>069</v>
          </cell>
          <cell r="B194" t="str">
            <v>Frankin</v>
          </cell>
          <cell r="C194" t="str">
            <v>Gonzalez</v>
          </cell>
          <cell r="D194" t="str">
            <v>M</v>
          </cell>
          <cell r="E194" t="str">
            <v>Colombia</v>
          </cell>
          <cell r="F194" t="str">
            <v>Bogotá</v>
          </cell>
          <cell r="G194" t="str">
            <v>Final</v>
          </cell>
        </row>
        <row r="195">
          <cell r="A195" t="str">
            <v>068</v>
          </cell>
          <cell r="B195" t="str">
            <v>Francisco</v>
          </cell>
          <cell r="C195" t="str">
            <v>Villalba</v>
          </cell>
          <cell r="D195" t="str">
            <v>M</v>
          </cell>
          <cell r="E195" t="str">
            <v>Estados Unidos</v>
          </cell>
          <cell r="F195" t="str">
            <v>Miami</v>
          </cell>
          <cell r="G195" t="str">
            <v>Final</v>
          </cell>
        </row>
        <row r="196">
          <cell r="A196" t="str">
            <v>067</v>
          </cell>
          <cell r="B196" t="str">
            <v xml:space="preserve">Fierro </v>
          </cell>
          <cell r="C196" t="str">
            <v>Lopez</v>
          </cell>
          <cell r="D196" t="str">
            <v>M</v>
          </cell>
          <cell r="E196" t="str">
            <v>España</v>
          </cell>
          <cell r="F196" t="str">
            <v>Madrid</v>
          </cell>
          <cell r="G196" t="str">
            <v>Final</v>
          </cell>
        </row>
        <row r="197">
          <cell r="A197" t="str">
            <v>066</v>
          </cell>
          <cell r="B197" t="str">
            <v xml:space="preserve">Fidel </v>
          </cell>
          <cell r="C197" t="str">
            <v>Castro</v>
          </cell>
          <cell r="D197" t="str">
            <v>M</v>
          </cell>
          <cell r="E197" t="str">
            <v>Estados Unidos</v>
          </cell>
          <cell r="F197" t="str">
            <v>New York</v>
          </cell>
          <cell r="G197" t="str">
            <v>Final</v>
          </cell>
        </row>
        <row r="198">
          <cell r="A198" t="str">
            <v>065</v>
          </cell>
          <cell r="B198" t="str">
            <v>Fernando</v>
          </cell>
          <cell r="C198" t="str">
            <v>Martinez</v>
          </cell>
          <cell r="D198" t="str">
            <v>M</v>
          </cell>
          <cell r="E198" t="str">
            <v>Inglaterra</v>
          </cell>
          <cell r="F198" t="str">
            <v>Londres</v>
          </cell>
          <cell r="G198" t="str">
            <v>Final</v>
          </cell>
        </row>
        <row r="199">
          <cell r="A199" t="str">
            <v>064</v>
          </cell>
          <cell r="B199" t="str">
            <v>Fermin</v>
          </cell>
          <cell r="C199" t="str">
            <v>Diaz</v>
          </cell>
          <cell r="D199" t="str">
            <v>M</v>
          </cell>
          <cell r="E199" t="str">
            <v>Colombia</v>
          </cell>
          <cell r="F199" t="str">
            <v>Ibagué</v>
          </cell>
          <cell r="G199" t="str">
            <v>Final</v>
          </cell>
        </row>
        <row r="200">
          <cell r="A200" t="str">
            <v>063</v>
          </cell>
          <cell r="B200" t="str">
            <v>Felipe</v>
          </cell>
          <cell r="C200" t="str">
            <v>Quiroga</v>
          </cell>
          <cell r="D200" t="str">
            <v>M</v>
          </cell>
          <cell r="E200" t="str">
            <v>Colombia</v>
          </cell>
          <cell r="F200" t="str">
            <v>Cali</v>
          </cell>
          <cell r="G200" t="str">
            <v>Final</v>
          </cell>
        </row>
        <row r="201">
          <cell r="A201" t="str">
            <v>062</v>
          </cell>
          <cell r="B201" t="str">
            <v>Felipe</v>
          </cell>
          <cell r="C201" t="str">
            <v>Diaz</v>
          </cell>
          <cell r="D201" t="str">
            <v>M</v>
          </cell>
          <cell r="E201" t="str">
            <v>Argentina</v>
          </cell>
          <cell r="F201" t="str">
            <v>Buenos Aires</v>
          </cell>
          <cell r="G201" t="str">
            <v>Final</v>
          </cell>
        </row>
        <row r="202">
          <cell r="A202" t="str">
            <v>061</v>
          </cell>
          <cell r="B202" t="str">
            <v>Enrique</v>
          </cell>
          <cell r="C202" t="str">
            <v>Pascuas</v>
          </cell>
          <cell r="D202" t="str">
            <v>M</v>
          </cell>
          <cell r="E202" t="str">
            <v>Colombia</v>
          </cell>
          <cell r="F202" t="str">
            <v>Neiva</v>
          </cell>
          <cell r="G202" t="str">
            <v>Final</v>
          </cell>
        </row>
        <row r="203">
          <cell r="A203" t="str">
            <v>060</v>
          </cell>
          <cell r="B203" t="str">
            <v>Enrique</v>
          </cell>
          <cell r="C203" t="str">
            <v>Guzman</v>
          </cell>
          <cell r="D203" t="str">
            <v>M</v>
          </cell>
          <cell r="E203" t="str">
            <v>Honduras</v>
          </cell>
          <cell r="F203" t="str">
            <v>San Pedro Sula</v>
          </cell>
          <cell r="G203" t="str">
            <v>Final</v>
          </cell>
        </row>
        <row r="204">
          <cell r="A204" t="str">
            <v>059</v>
          </cell>
          <cell r="B204" t="str">
            <v>Emiliano</v>
          </cell>
          <cell r="D204" t="str">
            <v>M</v>
          </cell>
          <cell r="E204" t="str">
            <v>Colombia</v>
          </cell>
          <cell r="F204" t="str">
            <v>Bogotá</v>
          </cell>
          <cell r="G204" t="str">
            <v>Final</v>
          </cell>
        </row>
        <row r="205">
          <cell r="A205" t="str">
            <v>058</v>
          </cell>
          <cell r="B205" t="str">
            <v xml:space="preserve">Elizabeth </v>
          </cell>
          <cell r="C205" t="str">
            <v>Angulo</v>
          </cell>
          <cell r="D205" t="str">
            <v>F</v>
          </cell>
          <cell r="E205" t="str">
            <v>Colombia</v>
          </cell>
          <cell r="F205" t="str">
            <v>Bogotá</v>
          </cell>
          <cell r="G205" t="str">
            <v>Final</v>
          </cell>
        </row>
        <row r="206">
          <cell r="A206" t="str">
            <v>057</v>
          </cell>
          <cell r="B206" t="str">
            <v>Edwin</v>
          </cell>
          <cell r="C206" t="str">
            <v>Coy</v>
          </cell>
          <cell r="D206" t="str">
            <v>M</v>
          </cell>
          <cell r="E206" t="str">
            <v>Colombia</v>
          </cell>
          <cell r="F206" t="str">
            <v>Bogotá</v>
          </cell>
          <cell r="G206" t="str">
            <v>Final</v>
          </cell>
        </row>
        <row r="207">
          <cell r="A207" t="str">
            <v>056</v>
          </cell>
          <cell r="B207" t="str">
            <v>Dysney saul</v>
          </cell>
          <cell r="C207" t="str">
            <v>Zuñiga</v>
          </cell>
          <cell r="D207" t="str">
            <v>M</v>
          </cell>
          <cell r="E207" t="str">
            <v>Colombia</v>
          </cell>
          <cell r="F207" t="str">
            <v>Ibagué</v>
          </cell>
          <cell r="G207" t="str">
            <v>Final</v>
          </cell>
        </row>
        <row r="208">
          <cell r="A208" t="str">
            <v>055</v>
          </cell>
          <cell r="B208" t="str">
            <v xml:space="preserve">Diego </v>
          </cell>
          <cell r="C208" t="str">
            <v>Urriago</v>
          </cell>
          <cell r="D208" t="str">
            <v>M</v>
          </cell>
          <cell r="E208" t="str">
            <v>Colombia</v>
          </cell>
          <cell r="F208" t="str">
            <v>Neiva</v>
          </cell>
          <cell r="G208" t="str">
            <v>Final</v>
          </cell>
        </row>
        <row r="209">
          <cell r="A209" t="str">
            <v>054</v>
          </cell>
          <cell r="B209" t="str">
            <v xml:space="preserve">Diego </v>
          </cell>
          <cell r="C209" t="str">
            <v>Rodriguez</v>
          </cell>
          <cell r="D209" t="str">
            <v>M</v>
          </cell>
          <cell r="E209" t="str">
            <v>Colombia</v>
          </cell>
          <cell r="F209" t="str">
            <v>Bogotá</v>
          </cell>
          <cell r="G209" t="str">
            <v>Final</v>
          </cell>
        </row>
        <row r="210">
          <cell r="A210" t="str">
            <v>053</v>
          </cell>
          <cell r="B210" t="str">
            <v xml:space="preserve">Diana </v>
          </cell>
          <cell r="C210" t="str">
            <v>Rojas</v>
          </cell>
          <cell r="D210" t="str">
            <v>F</v>
          </cell>
          <cell r="E210" t="str">
            <v>Colombia</v>
          </cell>
          <cell r="F210" t="str">
            <v>Bogotá</v>
          </cell>
          <cell r="G210" t="str">
            <v>Final</v>
          </cell>
        </row>
        <row r="211">
          <cell r="A211" t="str">
            <v>052</v>
          </cell>
          <cell r="B211" t="str">
            <v xml:space="preserve">Diana </v>
          </cell>
          <cell r="C211" t="str">
            <v>Quetama</v>
          </cell>
          <cell r="D211" t="str">
            <v>F</v>
          </cell>
          <cell r="E211" t="str">
            <v>Estados Unidos</v>
          </cell>
          <cell r="F211" t="str">
            <v>New Yersey</v>
          </cell>
          <cell r="G211" t="str">
            <v>Final</v>
          </cell>
        </row>
        <row r="212">
          <cell r="A212" t="str">
            <v>051</v>
          </cell>
          <cell r="B212" t="str">
            <v>Dennys</v>
          </cell>
          <cell r="C212" t="str">
            <v>Suarez</v>
          </cell>
          <cell r="D212" t="str">
            <v>M</v>
          </cell>
          <cell r="E212" t="str">
            <v>Estados Unidos</v>
          </cell>
          <cell r="F212" t="str">
            <v>New Yersey</v>
          </cell>
          <cell r="G212" t="str">
            <v>Final</v>
          </cell>
        </row>
        <row r="213">
          <cell r="A213" t="str">
            <v>050</v>
          </cell>
          <cell r="B213" t="str">
            <v>Dayana</v>
          </cell>
          <cell r="C213" t="str">
            <v>Espinel</v>
          </cell>
          <cell r="D213" t="str">
            <v>F</v>
          </cell>
          <cell r="E213" t="str">
            <v>Colombia</v>
          </cell>
          <cell r="F213" t="str">
            <v>Bogotá</v>
          </cell>
          <cell r="G213" t="str">
            <v>Final</v>
          </cell>
        </row>
        <row r="214">
          <cell r="A214" t="str">
            <v>049</v>
          </cell>
          <cell r="B214" t="str">
            <v>Davinson</v>
          </cell>
          <cell r="D214" t="str">
            <v>M</v>
          </cell>
          <cell r="E214" t="str">
            <v>Colombia</v>
          </cell>
          <cell r="F214" t="str">
            <v>Bogotá</v>
          </cell>
          <cell r="G214" t="str">
            <v>Final</v>
          </cell>
        </row>
        <row r="215">
          <cell r="A215" t="str">
            <v>048</v>
          </cell>
          <cell r="B215" t="str">
            <v>David</v>
          </cell>
          <cell r="C215" t="str">
            <v xml:space="preserve">Vargas </v>
          </cell>
          <cell r="D215" t="str">
            <v>M</v>
          </cell>
          <cell r="E215" t="str">
            <v>Colombia</v>
          </cell>
          <cell r="F215" t="str">
            <v>Bogotá</v>
          </cell>
          <cell r="G215" t="str">
            <v>Final</v>
          </cell>
        </row>
        <row r="216">
          <cell r="A216" t="str">
            <v>047</v>
          </cell>
          <cell r="B216" t="str">
            <v>David</v>
          </cell>
          <cell r="C216" t="str">
            <v>Jefe</v>
          </cell>
          <cell r="D216" t="str">
            <v>M</v>
          </cell>
          <cell r="E216" t="str">
            <v>España</v>
          </cell>
          <cell r="F216" t="str">
            <v>Madrid</v>
          </cell>
          <cell r="G216" t="str">
            <v>Final</v>
          </cell>
        </row>
        <row r="217">
          <cell r="A217" t="str">
            <v>046</v>
          </cell>
          <cell r="B217" t="str">
            <v>Danny</v>
          </cell>
          <cell r="C217" t="str">
            <v>Martinez</v>
          </cell>
          <cell r="D217" t="str">
            <v>M</v>
          </cell>
          <cell r="E217" t="str">
            <v>Colombia</v>
          </cell>
          <cell r="F217" t="str">
            <v>Ibagué</v>
          </cell>
          <cell r="G217" t="str">
            <v>Final</v>
          </cell>
        </row>
        <row r="218">
          <cell r="A218" t="str">
            <v>045</v>
          </cell>
          <cell r="B218" t="str">
            <v>Daniela</v>
          </cell>
          <cell r="C218" t="str">
            <v>Cifuentes</v>
          </cell>
          <cell r="D218" t="str">
            <v>F</v>
          </cell>
          <cell r="E218" t="str">
            <v>Colombia</v>
          </cell>
          <cell r="F218" t="str">
            <v>Bogotá</v>
          </cell>
          <cell r="G218" t="str">
            <v>Revendedor</v>
          </cell>
        </row>
        <row r="219">
          <cell r="A219" t="str">
            <v>044</v>
          </cell>
          <cell r="B219" t="str">
            <v xml:space="preserve">Daniel </v>
          </cell>
          <cell r="C219" t="str">
            <v>Elkin</v>
          </cell>
          <cell r="D219" t="str">
            <v>M</v>
          </cell>
          <cell r="E219" t="str">
            <v>Colombia</v>
          </cell>
          <cell r="F219" t="str">
            <v>Medellin</v>
          </cell>
          <cell r="G219" t="str">
            <v>Final</v>
          </cell>
        </row>
        <row r="220">
          <cell r="A220" t="str">
            <v>043</v>
          </cell>
          <cell r="B220" t="str">
            <v>Damaris</v>
          </cell>
          <cell r="C220" t="str">
            <v>Danny</v>
          </cell>
          <cell r="D220" t="str">
            <v>F</v>
          </cell>
          <cell r="E220" t="str">
            <v>Colombia</v>
          </cell>
          <cell r="F220" t="str">
            <v>Ibagué</v>
          </cell>
          <cell r="G220" t="str">
            <v>Final</v>
          </cell>
        </row>
        <row r="221">
          <cell r="A221" t="str">
            <v>042</v>
          </cell>
          <cell r="B221" t="str">
            <v xml:space="preserve">Cristian </v>
          </cell>
          <cell r="C221" t="str">
            <v>Sanchez</v>
          </cell>
          <cell r="D221" t="str">
            <v>M</v>
          </cell>
          <cell r="E221" t="str">
            <v>Holanda</v>
          </cell>
          <cell r="F221" t="str">
            <v>Amsterdam</v>
          </cell>
          <cell r="G221" t="str">
            <v>Final</v>
          </cell>
        </row>
        <row r="222">
          <cell r="A222" t="str">
            <v>041</v>
          </cell>
          <cell r="B222" t="str">
            <v xml:space="preserve">Cristian </v>
          </cell>
          <cell r="C222" t="str">
            <v>Bernal</v>
          </cell>
          <cell r="D222" t="str">
            <v>M</v>
          </cell>
          <cell r="E222" t="str">
            <v>Colombia</v>
          </cell>
          <cell r="F222" t="str">
            <v>Bogotá</v>
          </cell>
          <cell r="G222" t="str">
            <v>Final</v>
          </cell>
        </row>
        <row r="223">
          <cell r="A223" t="str">
            <v>040</v>
          </cell>
          <cell r="B223" t="str">
            <v>Cristal</v>
          </cell>
          <cell r="C223" t="str">
            <v>Mora</v>
          </cell>
          <cell r="D223" t="str">
            <v>F</v>
          </cell>
          <cell r="E223" t="str">
            <v>España</v>
          </cell>
          <cell r="F223" t="str">
            <v>Madrid</v>
          </cell>
          <cell r="G223" t="str">
            <v>Final</v>
          </cell>
        </row>
        <row r="224">
          <cell r="A224" t="str">
            <v>039</v>
          </cell>
          <cell r="B224" t="str">
            <v>Claudia Gutierrez</v>
          </cell>
          <cell r="C224" t="str">
            <v>Arias</v>
          </cell>
          <cell r="D224" t="str">
            <v>F</v>
          </cell>
          <cell r="E224" t="str">
            <v>Estados Unidos</v>
          </cell>
          <cell r="F224" t="str">
            <v>Miami</v>
          </cell>
          <cell r="G224" t="str">
            <v>Final</v>
          </cell>
        </row>
        <row r="225">
          <cell r="A225" t="str">
            <v>038</v>
          </cell>
          <cell r="B225" t="str">
            <v xml:space="preserve">Ciro </v>
          </cell>
          <cell r="C225" t="str">
            <v>Diaz</v>
          </cell>
          <cell r="D225" t="str">
            <v>M</v>
          </cell>
          <cell r="E225" t="str">
            <v>Colombia</v>
          </cell>
          <cell r="F225" t="str">
            <v>Bogotá</v>
          </cell>
          <cell r="G225" t="str">
            <v>Final</v>
          </cell>
        </row>
        <row r="226">
          <cell r="A226" t="str">
            <v>037</v>
          </cell>
          <cell r="B226" t="str">
            <v xml:space="preserve">Cesar </v>
          </cell>
          <cell r="C226" t="str">
            <v>Luna</v>
          </cell>
          <cell r="D226" t="str">
            <v>M</v>
          </cell>
          <cell r="E226" t="str">
            <v>España</v>
          </cell>
          <cell r="F226" t="str">
            <v>Madrid</v>
          </cell>
          <cell r="G226" t="str">
            <v>Final</v>
          </cell>
        </row>
        <row r="227">
          <cell r="A227" t="str">
            <v>036</v>
          </cell>
          <cell r="B227" t="str">
            <v>Cecilia</v>
          </cell>
          <cell r="D227" t="str">
            <v>F</v>
          </cell>
          <cell r="E227" t="str">
            <v>Colombia</v>
          </cell>
          <cell r="F227" t="str">
            <v>Bucaramanga</v>
          </cell>
          <cell r="G227" t="str">
            <v>Final</v>
          </cell>
        </row>
        <row r="228">
          <cell r="A228" t="str">
            <v>035</v>
          </cell>
          <cell r="B228" t="str">
            <v>Catalina</v>
          </cell>
          <cell r="C228" t="str">
            <v>Gutierrez</v>
          </cell>
          <cell r="D228" t="str">
            <v>F</v>
          </cell>
          <cell r="E228" t="str">
            <v>Colombia</v>
          </cell>
          <cell r="F228" t="str">
            <v>Bogotá</v>
          </cell>
          <cell r="G228" t="str">
            <v>Final</v>
          </cell>
        </row>
        <row r="229">
          <cell r="A229" t="str">
            <v>034</v>
          </cell>
          <cell r="B229" t="str">
            <v>Carolina</v>
          </cell>
          <cell r="C229" t="str">
            <v>Rojas</v>
          </cell>
          <cell r="D229" t="str">
            <v>F</v>
          </cell>
          <cell r="E229" t="str">
            <v>Colombia</v>
          </cell>
          <cell r="F229" t="str">
            <v>Bogotá</v>
          </cell>
          <cell r="G229" t="str">
            <v>Final</v>
          </cell>
        </row>
        <row r="230">
          <cell r="A230" t="str">
            <v>033</v>
          </cell>
          <cell r="B230" t="str">
            <v>Carolina</v>
          </cell>
          <cell r="C230" t="str">
            <v>Gomez</v>
          </cell>
          <cell r="D230" t="str">
            <v>F</v>
          </cell>
          <cell r="E230" t="str">
            <v>Colombia</v>
          </cell>
          <cell r="F230" t="str">
            <v>Fusagasugá</v>
          </cell>
          <cell r="G230" t="str">
            <v>Final</v>
          </cell>
        </row>
        <row r="231">
          <cell r="A231" t="str">
            <v>032</v>
          </cell>
          <cell r="B231" t="str">
            <v>Carlos</v>
          </cell>
          <cell r="C231" t="str">
            <v>Palacio</v>
          </cell>
          <cell r="D231" t="str">
            <v>M</v>
          </cell>
          <cell r="E231" t="str">
            <v>Colombia</v>
          </cell>
          <cell r="F231" t="str">
            <v>Medellin</v>
          </cell>
          <cell r="G231" t="str">
            <v>Revendedor</v>
          </cell>
        </row>
        <row r="232">
          <cell r="A232" t="str">
            <v>031</v>
          </cell>
          <cell r="B232" t="str">
            <v>Carlos A</v>
          </cell>
          <cell r="C232" t="str">
            <v>Cardenas</v>
          </cell>
          <cell r="D232" t="str">
            <v>M</v>
          </cell>
          <cell r="E232" t="str">
            <v>Colombia</v>
          </cell>
          <cell r="F232" t="str">
            <v>Bogotá</v>
          </cell>
          <cell r="G232" t="str">
            <v>Final</v>
          </cell>
        </row>
        <row r="233">
          <cell r="A233" t="str">
            <v>030</v>
          </cell>
          <cell r="B233" t="str">
            <v xml:space="preserve">Carlos </v>
          </cell>
          <cell r="C233" t="str">
            <v>Ramirez</v>
          </cell>
          <cell r="D233" t="str">
            <v>M</v>
          </cell>
          <cell r="E233" t="str">
            <v>Colombia</v>
          </cell>
          <cell r="F233" t="str">
            <v>Bogotá</v>
          </cell>
          <cell r="G233" t="str">
            <v>Final</v>
          </cell>
        </row>
        <row r="234">
          <cell r="A234" t="str">
            <v>029</v>
          </cell>
          <cell r="B234" t="str">
            <v>Carlos</v>
          </cell>
          <cell r="C234" t="str">
            <v>Merlo</v>
          </cell>
          <cell r="D234" t="str">
            <v>M</v>
          </cell>
          <cell r="E234" t="str">
            <v>Colombia</v>
          </cell>
          <cell r="F234" t="str">
            <v>Bogotá</v>
          </cell>
          <cell r="G234" t="str">
            <v>Final</v>
          </cell>
        </row>
        <row r="235">
          <cell r="A235" t="str">
            <v>028</v>
          </cell>
          <cell r="B235" t="str">
            <v>Carlos</v>
          </cell>
          <cell r="C235" t="str">
            <v>Galindo</v>
          </cell>
          <cell r="D235" t="str">
            <v>M</v>
          </cell>
          <cell r="E235" t="str">
            <v>Colombia</v>
          </cell>
          <cell r="F235" t="str">
            <v>Bogotá</v>
          </cell>
          <cell r="G235" t="str">
            <v>Final</v>
          </cell>
        </row>
        <row r="236">
          <cell r="A236" t="str">
            <v>027</v>
          </cell>
          <cell r="B236" t="str">
            <v>Carlos</v>
          </cell>
          <cell r="C236" t="str">
            <v>Bernal</v>
          </cell>
          <cell r="D236" t="str">
            <v>M</v>
          </cell>
          <cell r="E236" t="str">
            <v>Colombia</v>
          </cell>
          <cell r="F236" t="str">
            <v>Bogotá</v>
          </cell>
          <cell r="G236" t="str">
            <v>Final</v>
          </cell>
        </row>
        <row r="237">
          <cell r="A237" t="str">
            <v>026</v>
          </cell>
          <cell r="B237" t="str">
            <v xml:space="preserve">Camilo </v>
          </cell>
          <cell r="C237" t="str">
            <v>Millan</v>
          </cell>
          <cell r="D237" t="str">
            <v>M</v>
          </cell>
          <cell r="E237" t="str">
            <v>Colombia</v>
          </cell>
          <cell r="F237" t="str">
            <v>Bogotá</v>
          </cell>
          <cell r="G237" t="str">
            <v>Final</v>
          </cell>
        </row>
        <row r="238">
          <cell r="A238" t="str">
            <v>025</v>
          </cell>
          <cell r="B238" t="str">
            <v>Camilo Andres</v>
          </cell>
          <cell r="C238" t="str">
            <v>Torres</v>
          </cell>
          <cell r="D238" t="str">
            <v>M</v>
          </cell>
          <cell r="E238" t="str">
            <v>Colombia</v>
          </cell>
          <cell r="F238" t="str">
            <v>Bogotá</v>
          </cell>
          <cell r="G238" t="str">
            <v>Final</v>
          </cell>
        </row>
        <row r="239">
          <cell r="A239" t="str">
            <v>024</v>
          </cell>
          <cell r="B239" t="str">
            <v>Camilo</v>
          </cell>
          <cell r="C239" t="str">
            <v>Jodman</v>
          </cell>
          <cell r="D239" t="str">
            <v>M</v>
          </cell>
          <cell r="E239" t="str">
            <v>España</v>
          </cell>
          <cell r="F239" t="str">
            <v>Madrid</v>
          </cell>
          <cell r="G239" t="str">
            <v>Final</v>
          </cell>
        </row>
        <row r="240">
          <cell r="A240" t="str">
            <v>023</v>
          </cell>
          <cell r="B240" t="str">
            <v>Betty</v>
          </cell>
          <cell r="C240" t="str">
            <v>Tascon</v>
          </cell>
          <cell r="D240" t="str">
            <v>F</v>
          </cell>
          <cell r="E240" t="str">
            <v>Colombia</v>
          </cell>
          <cell r="F240" t="str">
            <v>Ibagué</v>
          </cell>
          <cell r="G240" t="str">
            <v>Final</v>
          </cell>
        </row>
        <row r="241">
          <cell r="A241" t="str">
            <v>022</v>
          </cell>
          <cell r="B241" t="str">
            <v>Arturo</v>
          </cell>
          <cell r="C241" t="str">
            <v>Maradiaga</v>
          </cell>
          <cell r="D241" t="str">
            <v>M</v>
          </cell>
          <cell r="E241" t="str">
            <v>Honduras</v>
          </cell>
          <cell r="F241" t="str">
            <v>San Pedro Sula</v>
          </cell>
          <cell r="G241" t="str">
            <v>Final</v>
          </cell>
        </row>
        <row r="242">
          <cell r="A242" t="str">
            <v>021</v>
          </cell>
          <cell r="B242" t="str">
            <v>Antonio</v>
          </cell>
          <cell r="C242" t="str">
            <v>Ramirez</v>
          </cell>
          <cell r="D242" t="str">
            <v>M</v>
          </cell>
          <cell r="E242" t="str">
            <v>España</v>
          </cell>
          <cell r="F242" t="str">
            <v>Madrid</v>
          </cell>
          <cell r="G242" t="str">
            <v>Final</v>
          </cell>
        </row>
        <row r="243">
          <cell r="A243" t="str">
            <v>020</v>
          </cell>
          <cell r="B243" t="str">
            <v>Anibal</v>
          </cell>
          <cell r="C243" t="str">
            <v>Gonzalez</v>
          </cell>
          <cell r="D243" t="str">
            <v>M</v>
          </cell>
          <cell r="E243" t="str">
            <v>Honduras</v>
          </cell>
          <cell r="F243" t="str">
            <v>San Pedro Sula</v>
          </cell>
          <cell r="G243" t="str">
            <v>Final</v>
          </cell>
        </row>
        <row r="244">
          <cell r="A244" t="str">
            <v>019</v>
          </cell>
          <cell r="B244" t="str">
            <v xml:space="preserve">Andres </v>
          </cell>
          <cell r="C244" t="str">
            <v>Vinueza</v>
          </cell>
          <cell r="D244" t="str">
            <v>M</v>
          </cell>
          <cell r="E244" t="str">
            <v>España</v>
          </cell>
          <cell r="F244" t="str">
            <v>Madrid</v>
          </cell>
          <cell r="G244" t="str">
            <v>Final</v>
          </cell>
        </row>
        <row r="245">
          <cell r="A245" t="str">
            <v>018</v>
          </cell>
          <cell r="B245" t="str">
            <v xml:space="preserve">Andres </v>
          </cell>
          <cell r="C245" t="str">
            <v>Duque</v>
          </cell>
          <cell r="D245" t="str">
            <v>M</v>
          </cell>
          <cell r="E245" t="str">
            <v>Colombia</v>
          </cell>
          <cell r="F245" t="str">
            <v>Pereira</v>
          </cell>
          <cell r="G245" t="str">
            <v>Final</v>
          </cell>
        </row>
        <row r="246">
          <cell r="A246" t="str">
            <v>017</v>
          </cell>
          <cell r="B246" t="str">
            <v xml:space="preserve">Andres </v>
          </cell>
          <cell r="C246" t="str">
            <v>Chantre</v>
          </cell>
          <cell r="D246" t="str">
            <v>M</v>
          </cell>
          <cell r="E246" t="str">
            <v>Estados Unidos</v>
          </cell>
          <cell r="F246" t="str">
            <v>New Yersey</v>
          </cell>
          <cell r="G246" t="str">
            <v>Final</v>
          </cell>
        </row>
        <row r="247">
          <cell r="A247" t="str">
            <v>016</v>
          </cell>
          <cell r="B247" t="str">
            <v>Alex</v>
          </cell>
          <cell r="C247" t="str">
            <v>Brijaldo</v>
          </cell>
          <cell r="D247" t="str">
            <v>M</v>
          </cell>
          <cell r="E247" t="str">
            <v>Colombia</v>
          </cell>
          <cell r="F247" t="str">
            <v>Bogotá</v>
          </cell>
          <cell r="G247" t="str">
            <v>Final</v>
          </cell>
        </row>
        <row r="248">
          <cell r="A248" t="str">
            <v>015</v>
          </cell>
          <cell r="B248" t="str">
            <v xml:space="preserve">Alejandra </v>
          </cell>
          <cell r="C248" t="str">
            <v>Salazar</v>
          </cell>
          <cell r="D248" t="str">
            <v>F</v>
          </cell>
          <cell r="E248" t="str">
            <v>España</v>
          </cell>
          <cell r="F248" t="str">
            <v>Madrid</v>
          </cell>
          <cell r="G248" t="str">
            <v>Final</v>
          </cell>
        </row>
        <row r="249">
          <cell r="A249" t="str">
            <v>014</v>
          </cell>
          <cell r="B249" t="str">
            <v xml:space="preserve">Andres </v>
          </cell>
          <cell r="C249" t="str">
            <v>Becerra</v>
          </cell>
          <cell r="D249" t="str">
            <v>M</v>
          </cell>
          <cell r="E249" t="str">
            <v>Estados Unidos</v>
          </cell>
          <cell r="F249" t="str">
            <v>Miami</v>
          </cell>
          <cell r="G249" t="str">
            <v>Final</v>
          </cell>
        </row>
        <row r="250">
          <cell r="A250" t="str">
            <v>013</v>
          </cell>
          <cell r="B250" t="str">
            <v xml:space="preserve">Andres </v>
          </cell>
          <cell r="C250" t="str">
            <v>Chirinos</v>
          </cell>
          <cell r="D250" t="str">
            <v>M</v>
          </cell>
          <cell r="E250" t="str">
            <v>Colombia</v>
          </cell>
          <cell r="F250" t="str">
            <v>Bogotá</v>
          </cell>
          <cell r="G250" t="str">
            <v>Final</v>
          </cell>
        </row>
        <row r="251">
          <cell r="A251" t="str">
            <v>012</v>
          </cell>
          <cell r="B251" t="str">
            <v>Anderson</v>
          </cell>
          <cell r="C251" t="str">
            <v>Martinez</v>
          </cell>
          <cell r="D251" t="str">
            <v>M</v>
          </cell>
          <cell r="E251" t="str">
            <v>Colombia</v>
          </cell>
          <cell r="F251" t="str">
            <v>Bogotá</v>
          </cell>
          <cell r="G251" t="str">
            <v>Final</v>
          </cell>
        </row>
        <row r="252">
          <cell r="A252" t="str">
            <v>011</v>
          </cell>
          <cell r="B252" t="str">
            <v xml:space="preserve">Alvaro </v>
          </cell>
          <cell r="C252" t="str">
            <v>Lopez</v>
          </cell>
          <cell r="D252" t="str">
            <v>M</v>
          </cell>
          <cell r="E252" t="str">
            <v>Colombia</v>
          </cell>
          <cell r="F252" t="str">
            <v>Ibagué</v>
          </cell>
          <cell r="G252" t="str">
            <v>Final</v>
          </cell>
        </row>
        <row r="253">
          <cell r="A253" t="str">
            <v>010</v>
          </cell>
          <cell r="B253" t="str">
            <v>Alfonso</v>
          </cell>
          <cell r="C253" t="str">
            <v>Ballen</v>
          </cell>
          <cell r="D253" t="str">
            <v>M</v>
          </cell>
          <cell r="E253" t="str">
            <v>Colombia</v>
          </cell>
          <cell r="F253" t="str">
            <v>Ibagué</v>
          </cell>
          <cell r="G253" t="str">
            <v>Final</v>
          </cell>
        </row>
        <row r="254">
          <cell r="A254" t="str">
            <v>009</v>
          </cell>
          <cell r="B254" t="str">
            <v>Alexander</v>
          </cell>
          <cell r="C254" t="str">
            <v>Barrera</v>
          </cell>
          <cell r="D254" t="str">
            <v>M</v>
          </cell>
          <cell r="E254" t="str">
            <v>Colombia</v>
          </cell>
          <cell r="F254" t="str">
            <v>Ibagué</v>
          </cell>
          <cell r="G254" t="str">
            <v>Final</v>
          </cell>
        </row>
        <row r="255">
          <cell r="A255" t="str">
            <v>008</v>
          </cell>
          <cell r="B255" t="str">
            <v xml:space="preserve">Alejandro </v>
          </cell>
          <cell r="C255" t="str">
            <v>Bernal</v>
          </cell>
          <cell r="D255" t="str">
            <v>M</v>
          </cell>
          <cell r="E255" t="str">
            <v>Colombia</v>
          </cell>
          <cell r="F255" t="str">
            <v>Bogotá</v>
          </cell>
          <cell r="G255" t="str">
            <v>Final</v>
          </cell>
        </row>
        <row r="256">
          <cell r="A256" t="str">
            <v>007</v>
          </cell>
          <cell r="B256" t="str">
            <v>Alejandro</v>
          </cell>
          <cell r="C256" t="str">
            <v xml:space="preserve">Lavado </v>
          </cell>
          <cell r="D256" t="str">
            <v>M</v>
          </cell>
          <cell r="E256" t="str">
            <v>Colombia</v>
          </cell>
          <cell r="F256" t="str">
            <v>Bogotá</v>
          </cell>
          <cell r="G256" t="str">
            <v>Final</v>
          </cell>
        </row>
        <row r="257">
          <cell r="A257" t="str">
            <v>006</v>
          </cell>
          <cell r="B257" t="str">
            <v>Alejandro</v>
          </cell>
          <cell r="C257" t="str">
            <v>Zapata</v>
          </cell>
          <cell r="D257" t="str">
            <v>M</v>
          </cell>
          <cell r="E257" t="str">
            <v>Colombia</v>
          </cell>
          <cell r="F257" t="str">
            <v>Bogotá</v>
          </cell>
          <cell r="G257" t="str">
            <v>Final</v>
          </cell>
        </row>
        <row r="258">
          <cell r="A258" t="str">
            <v>005</v>
          </cell>
          <cell r="B258" t="str">
            <v xml:space="preserve">Alejandra </v>
          </cell>
          <cell r="C258" t="str">
            <v>Marin</v>
          </cell>
          <cell r="D258" t="str">
            <v>F</v>
          </cell>
          <cell r="E258" t="str">
            <v>Colombia</v>
          </cell>
          <cell r="F258" t="str">
            <v>Bogotá</v>
          </cell>
          <cell r="G258" t="str">
            <v>Final</v>
          </cell>
        </row>
        <row r="259">
          <cell r="A259" t="str">
            <v>004</v>
          </cell>
          <cell r="B259" t="str">
            <v xml:space="preserve">Alejandra </v>
          </cell>
          <cell r="C259" t="str">
            <v>Calderon</v>
          </cell>
          <cell r="D259" t="str">
            <v>F</v>
          </cell>
          <cell r="E259" t="str">
            <v>Colombia</v>
          </cell>
          <cell r="F259" t="str">
            <v>Bogotá</v>
          </cell>
          <cell r="G259" t="str">
            <v>Final</v>
          </cell>
        </row>
        <row r="260">
          <cell r="A260" t="str">
            <v>003</v>
          </cell>
          <cell r="B260" t="str">
            <v xml:space="preserve">Alejandra </v>
          </cell>
          <cell r="C260" t="str">
            <v>Victoria</v>
          </cell>
          <cell r="D260" t="str">
            <v>F</v>
          </cell>
          <cell r="E260" t="str">
            <v>Colombia</v>
          </cell>
          <cell r="F260" t="str">
            <v>Bogotá</v>
          </cell>
          <cell r="G260" t="str">
            <v>Final</v>
          </cell>
        </row>
        <row r="261">
          <cell r="A261" t="str">
            <v>002</v>
          </cell>
          <cell r="B261" t="str">
            <v xml:space="preserve">Adriana </v>
          </cell>
          <cell r="C261" t="str">
            <v>Florez</v>
          </cell>
          <cell r="D261" t="str">
            <v>F</v>
          </cell>
          <cell r="E261" t="str">
            <v>Colombia</v>
          </cell>
          <cell r="F261" t="str">
            <v>Bogotá</v>
          </cell>
          <cell r="G261" t="str">
            <v>Final</v>
          </cell>
        </row>
        <row r="262">
          <cell r="A262" t="str">
            <v>001</v>
          </cell>
          <cell r="B262" t="str">
            <v xml:space="preserve">Adriana </v>
          </cell>
          <cell r="C262" t="str">
            <v>Garzon</v>
          </cell>
          <cell r="D262" t="str">
            <v>F</v>
          </cell>
          <cell r="E262" t="str">
            <v>Colombia</v>
          </cell>
          <cell r="F262" t="str">
            <v>Zipaquirá </v>
          </cell>
          <cell r="G262" t="str">
            <v>Final</v>
          </cell>
        </row>
        <row r="263">
          <cell r="A263" t="str">
            <v>000</v>
          </cell>
          <cell r="B263" t="str">
            <v xml:space="preserve">Vladimir </v>
          </cell>
          <cell r="C263" t="str">
            <v>Escobar</v>
          </cell>
          <cell r="D263" t="str">
            <v>M</v>
          </cell>
          <cell r="E263" t="str">
            <v>Colombia</v>
          </cell>
          <cell r="F263" t="str">
            <v>Bogotá</v>
          </cell>
          <cell r="G263" t="str">
            <v>Final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2"/>
  <sheetViews>
    <sheetView tabSelected="1" zoomScale="115" zoomScaleNormal="115" workbookViewId="0">
      <pane ySplit="1" topLeftCell="A86" activePane="bottomLeft" state="frozen"/>
      <selection pane="bottomLeft" activeCell="E92" sqref="E92"/>
    </sheetView>
  </sheetViews>
  <sheetFormatPr baseColWidth="10" defaultColWidth="9.140625" defaultRowHeight="15" x14ac:dyDescent="0.25"/>
  <cols>
    <col min="1" max="1" width="8.42578125" style="1" bestFit="1" customWidth="1"/>
    <col min="2" max="2" width="12.28515625" style="9" bestFit="1" customWidth="1"/>
    <col min="3" max="3" width="14.7109375" style="1" bestFit="1" customWidth="1"/>
    <col min="4" max="4" width="11.42578125" style="1" bestFit="1" customWidth="1"/>
    <col min="5" max="5" width="10.5703125" style="1" bestFit="1" customWidth="1"/>
    <col min="6" max="6" width="13.85546875" style="1" bestFit="1" customWidth="1"/>
    <col min="7" max="7" width="11" style="1" bestFit="1" customWidth="1"/>
    <col min="8" max="8" width="26.85546875" style="1" bestFit="1" customWidth="1"/>
    <col min="9" max="9" width="12.140625" style="1" bestFit="1" customWidth="1"/>
    <col min="10" max="10" width="9.42578125" style="1" customWidth="1"/>
    <col min="11" max="11" width="9" style="1" bestFit="1" customWidth="1"/>
    <col min="12" max="12" width="17.5703125" style="1" bestFit="1" customWidth="1"/>
    <col min="13" max="13" width="11.85546875" style="5" bestFit="1" customWidth="1"/>
    <col min="14" max="14" width="5.42578125" style="1" bestFit="1" customWidth="1"/>
    <col min="15" max="15" width="11.42578125" style="1" bestFit="1" customWidth="1"/>
    <col min="16" max="16" width="13.85546875" style="1" bestFit="1" customWidth="1"/>
    <col min="17" max="17" width="14.140625" style="1" bestFit="1" customWidth="1"/>
    <col min="18" max="18" width="15.140625" style="1" bestFit="1" customWidth="1"/>
    <col min="19" max="19" width="15.85546875" style="1" bestFit="1" customWidth="1"/>
    <col min="20" max="16384" width="9.140625" style="1"/>
  </cols>
  <sheetData>
    <row r="1" spans="1:19" customFormat="1" x14ac:dyDescent="0.25">
      <c r="A1" s="6" t="s">
        <v>71</v>
      </c>
      <c r="B1" s="6" t="s">
        <v>1</v>
      </c>
      <c r="C1" s="6" t="s">
        <v>29</v>
      </c>
      <c r="D1" s="6" t="s">
        <v>30</v>
      </c>
      <c r="E1" s="8" t="s">
        <v>3</v>
      </c>
      <c r="F1" s="6" t="s">
        <v>10</v>
      </c>
      <c r="G1" s="6" t="s">
        <v>33</v>
      </c>
      <c r="H1" s="8" t="s">
        <v>8</v>
      </c>
      <c r="I1" s="6" t="s">
        <v>68</v>
      </c>
      <c r="J1" s="6" t="s">
        <v>34</v>
      </c>
      <c r="K1" s="6" t="s">
        <v>31</v>
      </c>
      <c r="L1" s="6" t="s">
        <v>112</v>
      </c>
      <c r="M1" s="7" t="s">
        <v>7</v>
      </c>
      <c r="N1" s="6" t="s">
        <v>14</v>
      </c>
      <c r="O1" s="6" t="s">
        <v>15</v>
      </c>
      <c r="P1" s="6" t="s">
        <v>0</v>
      </c>
      <c r="Q1" s="6" t="s">
        <v>72</v>
      </c>
      <c r="R1" s="6" t="s">
        <v>76</v>
      </c>
      <c r="S1" s="6" t="s">
        <v>113</v>
      </c>
    </row>
    <row r="2" spans="1:19" customFormat="1" x14ac:dyDescent="0.25">
      <c r="A2" s="1" t="s">
        <v>349</v>
      </c>
      <c r="B2" s="9" t="s">
        <v>350</v>
      </c>
      <c r="C2" s="1" t="str">
        <f>VLOOKUP(B2,'[1]Tabla Clientes'!$A:$G,2,0)</f>
        <v>Gimena</v>
      </c>
      <c r="D2" s="1" t="str">
        <f>VLOOKUP(B2,'[1]Tabla Clientes'!$A:$G,3,0)</f>
        <v>Tascon</v>
      </c>
      <c r="E2" s="1" t="s">
        <v>5</v>
      </c>
      <c r="F2" s="1" t="s">
        <v>12</v>
      </c>
      <c r="G2" s="1" t="s">
        <v>35</v>
      </c>
      <c r="H2" s="1" t="s">
        <v>351</v>
      </c>
      <c r="I2" s="1" t="s">
        <v>153</v>
      </c>
      <c r="J2" s="1" t="s">
        <v>35</v>
      </c>
      <c r="K2" s="1">
        <v>1</v>
      </c>
      <c r="L2" s="5">
        <v>46173</v>
      </c>
      <c r="M2" s="5">
        <v>46162.814583333333</v>
      </c>
      <c r="N2" s="1">
        <v>2026</v>
      </c>
      <c r="O2" s="1" t="s">
        <v>24</v>
      </c>
      <c r="P2" s="1">
        <v>1</v>
      </c>
      <c r="Q2" s="1" t="s">
        <v>74</v>
      </c>
      <c r="R2" s="1" t="s">
        <v>77</v>
      </c>
      <c r="S2" s="1" t="s">
        <v>35</v>
      </c>
    </row>
    <row r="3" spans="1:19" customFormat="1" x14ac:dyDescent="0.25">
      <c r="A3" s="1" t="s">
        <v>346</v>
      </c>
      <c r="B3" s="9" t="s">
        <v>347</v>
      </c>
      <c r="C3" s="1" t="str">
        <f>VLOOKUP(B3,'[1]Tabla Clientes'!$A:$G,2,0)</f>
        <v xml:space="preserve">Jorge </v>
      </c>
      <c r="D3" s="1" t="str">
        <f>VLOOKUP(B3,'[1]Tabla Clientes'!$A:$G,3,0)</f>
        <v>Niño</v>
      </c>
      <c r="E3" s="1" t="s">
        <v>4</v>
      </c>
      <c r="F3" s="1" t="s">
        <v>11</v>
      </c>
      <c r="G3" s="1" t="s">
        <v>35</v>
      </c>
      <c r="H3" s="1" t="s">
        <v>348</v>
      </c>
      <c r="I3" s="1" t="s">
        <v>153</v>
      </c>
      <c r="J3" s="1" t="s">
        <v>35</v>
      </c>
      <c r="K3" s="1">
        <v>1</v>
      </c>
      <c r="L3" s="5">
        <v>46173</v>
      </c>
      <c r="M3" s="5">
        <v>46164</v>
      </c>
      <c r="N3" s="1">
        <v>2026</v>
      </c>
      <c r="O3" s="1" t="s">
        <v>24</v>
      </c>
      <c r="P3" s="1">
        <v>1</v>
      </c>
      <c r="Q3" s="1" t="s">
        <v>74</v>
      </c>
      <c r="R3" s="1" t="s">
        <v>77</v>
      </c>
      <c r="S3" s="1" t="s">
        <v>35</v>
      </c>
    </row>
    <row r="4" spans="1:19" customFormat="1" x14ac:dyDescent="0.25">
      <c r="A4" s="1" t="s">
        <v>345</v>
      </c>
      <c r="B4" s="9" t="s">
        <v>17</v>
      </c>
      <c r="C4" s="1" t="str">
        <f>VLOOKUP(B4,'[1]Tabla Clientes'!$A:$G,2,0)</f>
        <v>Jan</v>
      </c>
      <c r="D4" s="1" t="str">
        <f>VLOOKUP(B4,'[1]Tabla Clientes'!$A:$G,3,0)</f>
        <v>Garcia</v>
      </c>
      <c r="E4" s="1" t="s">
        <v>5</v>
      </c>
      <c r="F4" s="1" t="s">
        <v>12</v>
      </c>
      <c r="G4" s="1" t="s">
        <v>35</v>
      </c>
      <c r="H4" s="1" t="s">
        <v>342</v>
      </c>
      <c r="I4" s="1" t="s">
        <v>153</v>
      </c>
      <c r="J4" s="1" t="s">
        <v>35</v>
      </c>
      <c r="K4" s="1">
        <v>1</v>
      </c>
      <c r="L4" s="5">
        <v>46173</v>
      </c>
      <c r="M4" s="5">
        <v>46143</v>
      </c>
      <c r="N4" s="1">
        <v>2026</v>
      </c>
      <c r="O4" s="1" t="s">
        <v>24</v>
      </c>
      <c r="P4" s="1">
        <v>1</v>
      </c>
      <c r="Q4" s="1" t="s">
        <v>75</v>
      </c>
      <c r="R4" s="1" t="s">
        <v>97</v>
      </c>
      <c r="S4" s="1" t="s">
        <v>35</v>
      </c>
    </row>
    <row r="5" spans="1:19" customFormat="1" x14ac:dyDescent="0.25">
      <c r="A5" s="1" t="s">
        <v>343</v>
      </c>
      <c r="B5" s="9" t="s">
        <v>17</v>
      </c>
      <c r="C5" s="1" t="str">
        <f>VLOOKUP(B5,'[1]Tabla Clientes'!$A:$G,2,0)</f>
        <v>Jan</v>
      </c>
      <c r="D5" s="1" t="str">
        <f>VLOOKUP(B5,'[1]Tabla Clientes'!$A:$G,3,0)</f>
        <v>Garcia</v>
      </c>
      <c r="E5" s="1" t="s">
        <v>5</v>
      </c>
      <c r="F5" s="1" t="s">
        <v>12</v>
      </c>
      <c r="G5" s="1" t="s">
        <v>35</v>
      </c>
      <c r="H5" s="1" t="s">
        <v>344</v>
      </c>
      <c r="I5" s="1" t="s">
        <v>153</v>
      </c>
      <c r="J5" s="1" t="s">
        <v>35</v>
      </c>
      <c r="K5" s="1">
        <v>1</v>
      </c>
      <c r="L5" s="5">
        <v>46173</v>
      </c>
      <c r="M5" s="5">
        <v>46148</v>
      </c>
      <c r="N5" s="1">
        <v>2026</v>
      </c>
      <c r="O5" s="1" t="s">
        <v>24</v>
      </c>
      <c r="P5" s="1">
        <v>1</v>
      </c>
      <c r="Q5" s="1" t="s">
        <v>75</v>
      </c>
      <c r="R5" s="1" t="s">
        <v>97</v>
      </c>
      <c r="S5" s="1" t="s">
        <v>35</v>
      </c>
    </row>
    <row r="6" spans="1:19" customFormat="1" x14ac:dyDescent="0.25">
      <c r="A6" s="1" t="s">
        <v>339</v>
      </c>
      <c r="B6" s="9" t="s">
        <v>340</v>
      </c>
      <c r="C6" s="1" t="str">
        <f>VLOOKUP(B6,'[1]Tabla Clientes'!$A:$G,2,0)</f>
        <v xml:space="preserve">Maria Teresa </v>
      </c>
      <c r="D6" s="1" t="str">
        <f>VLOOKUP(B6,'[1]Tabla Clientes'!$A:$G,3,0)</f>
        <v xml:space="preserve">Castro </v>
      </c>
      <c r="E6" s="1" t="s">
        <v>4</v>
      </c>
      <c r="F6" s="1" t="s">
        <v>11</v>
      </c>
      <c r="G6" s="1" t="s">
        <v>35</v>
      </c>
      <c r="H6" s="1" t="s">
        <v>341</v>
      </c>
      <c r="I6" s="1" t="s">
        <v>153</v>
      </c>
      <c r="J6" s="1" t="s">
        <v>35</v>
      </c>
      <c r="K6" s="1">
        <v>1</v>
      </c>
      <c r="L6" s="5">
        <v>46173</v>
      </c>
      <c r="M6" s="5">
        <v>46152</v>
      </c>
      <c r="N6" s="1">
        <v>2026</v>
      </c>
      <c r="O6" s="1" t="s">
        <v>24</v>
      </c>
      <c r="P6" s="1">
        <v>1</v>
      </c>
      <c r="Q6" s="1" t="s">
        <v>74</v>
      </c>
      <c r="R6" s="1" t="s">
        <v>77</v>
      </c>
      <c r="S6" s="1" t="s">
        <v>35</v>
      </c>
    </row>
    <row r="7" spans="1:19" customFormat="1" x14ac:dyDescent="0.25">
      <c r="A7" s="1" t="s">
        <v>336</v>
      </c>
      <c r="B7" s="9" t="s">
        <v>337</v>
      </c>
      <c r="C7" s="1" t="str">
        <f>VLOOKUP(B7,'[1]Tabla Clientes'!$A:$G,2,0)</f>
        <v xml:space="preserve">Diego </v>
      </c>
      <c r="D7" s="1" t="str">
        <f>VLOOKUP(B7,'[1]Tabla Clientes'!$A:$G,3,0)</f>
        <v>Rodriguez</v>
      </c>
      <c r="E7" s="1" t="s">
        <v>36</v>
      </c>
      <c r="F7" s="1" t="s">
        <v>32</v>
      </c>
      <c r="G7" s="1" t="s">
        <v>35</v>
      </c>
      <c r="H7" s="1" t="s">
        <v>338</v>
      </c>
      <c r="I7" s="1" t="s">
        <v>153</v>
      </c>
      <c r="J7" s="1" t="s">
        <v>35</v>
      </c>
      <c r="K7" s="1">
        <v>1</v>
      </c>
      <c r="L7" s="5">
        <v>46148</v>
      </c>
      <c r="M7" s="5">
        <v>46146</v>
      </c>
      <c r="N7" s="1">
        <v>2026</v>
      </c>
      <c r="O7" s="1" t="s">
        <v>24</v>
      </c>
      <c r="P7" s="1">
        <v>1</v>
      </c>
      <c r="Q7" s="1" t="s">
        <v>75</v>
      </c>
      <c r="R7" s="1" t="s">
        <v>77</v>
      </c>
      <c r="S7" s="1" t="s">
        <v>35</v>
      </c>
    </row>
    <row r="8" spans="1:19" customFormat="1" x14ac:dyDescent="0.25">
      <c r="A8" s="1" t="s">
        <v>333</v>
      </c>
      <c r="B8" s="9" t="s">
        <v>334</v>
      </c>
      <c r="C8" s="1" t="str">
        <f>VLOOKUP(B8,'[1]Tabla Clientes'!$A:$G,2,0)</f>
        <v>Juan Felipe</v>
      </c>
      <c r="D8" s="1" t="str">
        <f>VLOOKUP(B8,'[1]Tabla Clientes'!$A:$G,3,0)</f>
        <v>Parra</v>
      </c>
      <c r="E8" s="1" t="s">
        <v>6</v>
      </c>
      <c r="F8" s="1" t="s">
        <v>13</v>
      </c>
      <c r="G8" s="1" t="s">
        <v>35</v>
      </c>
      <c r="H8" s="1" t="s">
        <v>335</v>
      </c>
      <c r="I8" s="1" t="s">
        <v>153</v>
      </c>
      <c r="J8" s="1" t="s">
        <v>35</v>
      </c>
      <c r="K8" s="1">
        <v>1</v>
      </c>
      <c r="L8" s="5">
        <v>46148</v>
      </c>
      <c r="M8" s="5">
        <v>46141</v>
      </c>
      <c r="N8" s="1">
        <v>2026</v>
      </c>
      <c r="O8" s="1" t="s">
        <v>24</v>
      </c>
      <c r="P8" s="1">
        <v>1</v>
      </c>
      <c r="Q8" s="1" t="s">
        <v>74</v>
      </c>
      <c r="R8" s="1" t="s">
        <v>77</v>
      </c>
      <c r="S8" s="1" t="s">
        <v>35</v>
      </c>
    </row>
    <row r="9" spans="1:19" customFormat="1" x14ac:dyDescent="0.25">
      <c r="A9" s="1" t="s">
        <v>329</v>
      </c>
      <c r="B9" s="9" t="s">
        <v>327</v>
      </c>
      <c r="C9" s="1" t="str">
        <f>VLOOKUP(B9,'[1]Tabla Clientes'!$A:$G,2,0)</f>
        <v xml:space="preserve">Martha </v>
      </c>
      <c r="D9" s="1" t="str">
        <f>VLOOKUP(B9,'[1]Tabla Clientes'!$A:$G,3,0)</f>
        <v>Cely</v>
      </c>
      <c r="E9" s="1" t="s">
        <v>36</v>
      </c>
      <c r="F9" s="1" t="s">
        <v>32</v>
      </c>
      <c r="G9" s="1" t="s">
        <v>35</v>
      </c>
      <c r="H9" s="1" t="s">
        <v>328</v>
      </c>
      <c r="I9" s="1" t="s">
        <v>153</v>
      </c>
      <c r="J9" s="1" t="s">
        <v>35</v>
      </c>
      <c r="K9" s="1">
        <v>1</v>
      </c>
      <c r="L9" s="5">
        <v>46141</v>
      </c>
      <c r="M9" s="5">
        <v>46124</v>
      </c>
      <c r="N9" s="1">
        <v>2026</v>
      </c>
      <c r="O9" s="1" t="s">
        <v>23</v>
      </c>
      <c r="P9" s="1">
        <v>1</v>
      </c>
      <c r="Q9" s="1" t="s">
        <v>73</v>
      </c>
      <c r="R9" s="1" t="s">
        <v>77</v>
      </c>
      <c r="S9" s="1" t="s">
        <v>35</v>
      </c>
    </row>
    <row r="10" spans="1:19" customFormat="1" x14ac:dyDescent="0.25">
      <c r="A10" s="1" t="s">
        <v>330</v>
      </c>
      <c r="B10" s="9" t="s">
        <v>331</v>
      </c>
      <c r="C10" s="1" t="str">
        <f>VLOOKUP(B10,'[1]Tabla Clientes'!$A:$G,2,0)</f>
        <v xml:space="preserve">Andres </v>
      </c>
      <c r="D10" s="1" t="str">
        <f>VLOOKUP(B10,'[1]Tabla Clientes'!$A:$G,3,0)</f>
        <v>Becerra</v>
      </c>
      <c r="E10" s="1" t="s">
        <v>36</v>
      </c>
      <c r="F10" s="1" t="s">
        <v>32</v>
      </c>
      <c r="G10" s="1" t="s">
        <v>35</v>
      </c>
      <c r="H10" s="1" t="s">
        <v>332</v>
      </c>
      <c r="I10" s="1" t="s">
        <v>153</v>
      </c>
      <c r="J10" s="1" t="s">
        <v>35</v>
      </c>
      <c r="K10" s="1">
        <v>1</v>
      </c>
      <c r="L10" s="5">
        <v>46141</v>
      </c>
      <c r="M10" s="5">
        <v>46113</v>
      </c>
      <c r="N10" s="1">
        <v>2026</v>
      </c>
      <c r="O10" s="1" t="s">
        <v>23</v>
      </c>
      <c r="P10" s="1">
        <v>1</v>
      </c>
      <c r="Q10" s="1" t="s">
        <v>74</v>
      </c>
      <c r="R10" s="1" t="s">
        <v>77</v>
      </c>
      <c r="S10" s="1" t="s">
        <v>35</v>
      </c>
    </row>
    <row r="11" spans="1:19" customFormat="1" x14ac:dyDescent="0.25">
      <c r="A11" s="1" t="s">
        <v>318</v>
      </c>
      <c r="B11" s="9" t="s">
        <v>171</v>
      </c>
      <c r="C11" s="1" t="str">
        <f>VLOOKUP(B11,'[1]Tabla Clientes'!$A:$G,2,0)</f>
        <v>Daniela</v>
      </c>
      <c r="D11" s="1" t="str">
        <f>VLOOKUP(B11,'[1]Tabla Clientes'!$A:$G,3,0)</f>
        <v>Cifuentes</v>
      </c>
      <c r="E11" s="1" t="s">
        <v>4</v>
      </c>
      <c r="F11" s="1" t="s">
        <v>11</v>
      </c>
      <c r="G11" s="1" t="s">
        <v>35</v>
      </c>
      <c r="H11" s="1" t="s">
        <v>321</v>
      </c>
      <c r="I11" s="1" t="s">
        <v>153</v>
      </c>
      <c r="J11" s="1" t="s">
        <v>35</v>
      </c>
      <c r="K11" s="1">
        <v>1</v>
      </c>
      <c r="L11" s="5">
        <v>46132</v>
      </c>
      <c r="M11" s="5">
        <v>46126</v>
      </c>
      <c r="N11" s="1">
        <v>2026</v>
      </c>
      <c r="O11" s="1" t="s">
        <v>23</v>
      </c>
      <c r="P11" s="1">
        <v>1</v>
      </c>
      <c r="Q11" s="1" t="s">
        <v>75</v>
      </c>
      <c r="R11" s="1" t="s">
        <v>97</v>
      </c>
      <c r="S11" s="1" t="s">
        <v>35</v>
      </c>
    </row>
    <row r="12" spans="1:19" customFormat="1" x14ac:dyDescent="0.25">
      <c r="A12" s="1" t="s">
        <v>322</v>
      </c>
      <c r="B12" s="9">
        <v>204</v>
      </c>
      <c r="C12" s="1" t="str">
        <f>VLOOKUP(B12,'[1]Tabla Clientes'!$A:$G,2,0)</f>
        <v xml:space="preserve">Alexander </v>
      </c>
      <c r="D12" s="1" t="str">
        <f>VLOOKUP(B12,'[1]Tabla Clientes'!$A:$G,3,0)</f>
        <v>Soler</v>
      </c>
      <c r="E12" s="1" t="s">
        <v>4</v>
      </c>
      <c r="F12" s="1" t="s">
        <v>11</v>
      </c>
      <c r="G12" s="1" t="s">
        <v>35</v>
      </c>
      <c r="H12" s="1" t="s">
        <v>323</v>
      </c>
      <c r="I12" s="1" t="s">
        <v>153</v>
      </c>
      <c r="J12" s="1" t="s">
        <v>35</v>
      </c>
      <c r="K12" s="1">
        <v>1</v>
      </c>
      <c r="L12" s="5">
        <v>46132</v>
      </c>
      <c r="M12" s="5">
        <v>46125</v>
      </c>
      <c r="N12" s="1">
        <v>2026</v>
      </c>
      <c r="O12" s="1" t="s">
        <v>23</v>
      </c>
      <c r="P12" s="1">
        <v>1</v>
      </c>
      <c r="Q12" s="1" t="s">
        <v>74</v>
      </c>
      <c r="R12" s="1" t="s">
        <v>77</v>
      </c>
      <c r="S12" s="1" t="s">
        <v>35</v>
      </c>
    </row>
    <row r="13" spans="1:19" customFormat="1" x14ac:dyDescent="0.25">
      <c r="A13" s="1" t="s">
        <v>324</v>
      </c>
      <c r="B13" s="9" t="s">
        <v>325</v>
      </c>
      <c r="C13" s="1" t="str">
        <f>VLOOKUP(B13,'[1]Tabla Clientes'!$A:$G,2,0)</f>
        <v>Marcela</v>
      </c>
      <c r="D13" s="1" t="str">
        <f>VLOOKUP(B13,'[1]Tabla Clientes'!$A:$G,3,0)</f>
        <v>Mejia</v>
      </c>
      <c r="E13" s="1" t="s">
        <v>4</v>
      </c>
      <c r="F13" s="1" t="s">
        <v>11</v>
      </c>
      <c r="G13" s="1" t="s">
        <v>35</v>
      </c>
      <c r="H13" s="1" t="s">
        <v>326</v>
      </c>
      <c r="I13" s="1" t="s">
        <v>153</v>
      </c>
      <c r="J13" s="1" t="s">
        <v>35</v>
      </c>
      <c r="K13" s="1">
        <v>1</v>
      </c>
      <c r="L13" s="5">
        <v>46132</v>
      </c>
      <c r="M13" s="5">
        <v>46115</v>
      </c>
      <c r="N13" s="1">
        <v>2026</v>
      </c>
      <c r="O13" s="1" t="s">
        <v>23</v>
      </c>
      <c r="P13" s="1">
        <v>1</v>
      </c>
      <c r="Q13" s="1" t="s">
        <v>74</v>
      </c>
      <c r="R13" s="1" t="s">
        <v>77</v>
      </c>
      <c r="S13" s="1" t="s">
        <v>35</v>
      </c>
    </row>
    <row r="14" spans="1:19" x14ac:dyDescent="0.25">
      <c r="A14" s="1" t="s">
        <v>319</v>
      </c>
      <c r="B14" s="9" t="s">
        <v>171</v>
      </c>
      <c r="C14" s="1" t="str">
        <f>VLOOKUP(B14,'[1]Tabla Clientes'!$A:$G,2,0)</f>
        <v>Daniela</v>
      </c>
      <c r="D14" s="1" t="str">
        <f>VLOOKUP(B14,'[1]Tabla Clientes'!$A:$G,3,0)</f>
        <v>Cifuentes</v>
      </c>
      <c r="E14" s="1" t="s">
        <v>4</v>
      </c>
      <c r="F14" s="1" t="s">
        <v>11</v>
      </c>
      <c r="G14" s="1" t="s">
        <v>35</v>
      </c>
      <c r="H14" s="1" t="s">
        <v>320</v>
      </c>
      <c r="I14" s="1" t="s">
        <v>153</v>
      </c>
      <c r="J14" s="1" t="s">
        <v>35</v>
      </c>
      <c r="K14" s="1">
        <v>1</v>
      </c>
      <c r="L14" s="5">
        <v>46132</v>
      </c>
      <c r="M14" s="5">
        <v>46107</v>
      </c>
      <c r="N14" s="1">
        <v>2026</v>
      </c>
      <c r="O14" s="1" t="s">
        <v>23</v>
      </c>
      <c r="P14" s="1">
        <v>1</v>
      </c>
      <c r="Q14" s="1" t="s">
        <v>75</v>
      </c>
      <c r="R14" s="1" t="s">
        <v>97</v>
      </c>
      <c r="S14" s="1" t="s">
        <v>35</v>
      </c>
    </row>
    <row r="15" spans="1:19" x14ac:dyDescent="0.25">
      <c r="A15" s="1" t="s">
        <v>308</v>
      </c>
      <c r="B15" s="9" t="s">
        <v>309</v>
      </c>
      <c r="C15" s="1" t="s">
        <v>310</v>
      </c>
      <c r="D15" s="1" t="s">
        <v>311</v>
      </c>
      <c r="E15" s="1" t="s">
        <v>36</v>
      </c>
      <c r="F15" s="1" t="s">
        <v>32</v>
      </c>
      <c r="G15" s="1" t="s">
        <v>35</v>
      </c>
      <c r="H15" s="1" t="s">
        <v>307</v>
      </c>
      <c r="I15" s="1" t="s">
        <v>153</v>
      </c>
      <c r="J15" s="1" t="s">
        <v>35</v>
      </c>
      <c r="K15" s="1">
        <v>1</v>
      </c>
      <c r="L15" s="5">
        <v>46105</v>
      </c>
      <c r="M15" s="5">
        <v>46096</v>
      </c>
      <c r="N15" s="1">
        <v>2026</v>
      </c>
      <c r="O15" s="1" t="s">
        <v>22</v>
      </c>
      <c r="P15" s="1">
        <v>1</v>
      </c>
      <c r="Q15" s="1" t="s">
        <v>75</v>
      </c>
      <c r="R15" s="1" t="s">
        <v>97</v>
      </c>
      <c r="S15" s="1" t="s">
        <v>35</v>
      </c>
    </row>
    <row r="16" spans="1:19" customFormat="1" x14ac:dyDescent="0.25">
      <c r="A16" s="1" t="s">
        <v>315</v>
      </c>
      <c r="B16" s="9">
        <v>192</v>
      </c>
      <c r="C16" s="1" t="str">
        <f>VLOOKUP(B16,'[1]Tabla Clientes'!$A:$G,2,0)</f>
        <v xml:space="preserve">Abel </v>
      </c>
      <c r="D16" s="1" t="str">
        <f>VLOOKUP(B16,'[1]Tabla Clientes'!$A:$G,3,0)</f>
        <v>Ramirez</v>
      </c>
      <c r="E16" s="1" t="s">
        <v>36</v>
      </c>
      <c r="F16" s="1" t="s">
        <v>32</v>
      </c>
      <c r="G16" s="1" t="s">
        <v>35</v>
      </c>
      <c r="H16" s="1" t="s">
        <v>316</v>
      </c>
      <c r="I16" s="1" t="s">
        <v>37</v>
      </c>
      <c r="J16" s="1" t="s">
        <v>35</v>
      </c>
      <c r="K16" s="1">
        <v>1</v>
      </c>
      <c r="L16" s="5">
        <v>46092.958333333336</v>
      </c>
      <c r="M16" s="5">
        <v>46092.958333333336</v>
      </c>
      <c r="N16" s="1">
        <v>2026</v>
      </c>
      <c r="O16" s="1" t="s">
        <v>22</v>
      </c>
      <c r="P16" s="1">
        <v>1</v>
      </c>
      <c r="Q16" s="1" t="s">
        <v>73</v>
      </c>
      <c r="R16" s="1" t="s">
        <v>77</v>
      </c>
      <c r="S16" s="1" t="s">
        <v>35</v>
      </c>
    </row>
    <row r="17" spans="1:19" customFormat="1" x14ac:dyDescent="0.25">
      <c r="A17" s="1" t="s">
        <v>312</v>
      </c>
      <c r="B17" s="9" t="s">
        <v>313</v>
      </c>
      <c r="C17" s="1" t="str">
        <f>VLOOKUP(B17,'[1]Tabla Clientes'!$A:$G,2,0)</f>
        <v>David</v>
      </c>
      <c r="D17" s="1" t="str">
        <f>VLOOKUP(B17,'[1]Tabla Clientes'!$A:$G,3,0)</f>
        <v xml:space="preserve">Vargas </v>
      </c>
      <c r="E17" s="1" t="s">
        <v>4</v>
      </c>
      <c r="F17" s="1" t="s">
        <v>11</v>
      </c>
      <c r="G17" s="1" t="s">
        <v>35</v>
      </c>
      <c r="H17" s="1" t="s">
        <v>314</v>
      </c>
      <c r="I17" s="1" t="s">
        <v>37</v>
      </c>
      <c r="J17" s="1" t="s">
        <v>35</v>
      </c>
      <c r="K17" s="1">
        <v>1</v>
      </c>
      <c r="L17" s="5">
        <v>46081</v>
      </c>
      <c r="M17" s="5">
        <v>46081</v>
      </c>
      <c r="N17" s="1">
        <v>2026</v>
      </c>
      <c r="O17" s="1" t="s">
        <v>21</v>
      </c>
      <c r="P17" s="1">
        <v>1</v>
      </c>
      <c r="Q17" s="1" t="s">
        <v>75</v>
      </c>
      <c r="R17" s="1" t="s">
        <v>77</v>
      </c>
      <c r="S17" s="1" t="s">
        <v>46</v>
      </c>
    </row>
    <row r="18" spans="1:19" customFormat="1" x14ac:dyDescent="0.25">
      <c r="A18" s="1" t="s">
        <v>306</v>
      </c>
      <c r="B18" s="9" t="s">
        <v>304</v>
      </c>
      <c r="C18" s="1" t="str">
        <f>VLOOKUP(B18,'[1]Tabla Clientes'!$A:$G,2,0)</f>
        <v>Sebastian</v>
      </c>
      <c r="D18" s="1" t="str">
        <f>VLOOKUP(B18,'[1]Tabla Clientes'!$A:$G,3,0)</f>
        <v>Saldaña</v>
      </c>
      <c r="E18" s="1" t="s">
        <v>4</v>
      </c>
      <c r="F18" s="1" t="s">
        <v>11</v>
      </c>
      <c r="G18" s="1" t="s">
        <v>35</v>
      </c>
      <c r="H18" s="1" t="s">
        <v>305</v>
      </c>
      <c r="I18" s="1" t="s">
        <v>153</v>
      </c>
      <c r="J18" s="1" t="s">
        <v>35</v>
      </c>
      <c r="K18" s="1">
        <v>1</v>
      </c>
      <c r="L18" s="5">
        <v>46070</v>
      </c>
      <c r="M18" s="5">
        <v>46070</v>
      </c>
      <c r="N18" s="1">
        <v>2026</v>
      </c>
      <c r="O18" s="1" t="s">
        <v>21</v>
      </c>
      <c r="P18" s="1">
        <v>1</v>
      </c>
      <c r="Q18" s="1" t="s">
        <v>74</v>
      </c>
      <c r="R18" s="1" t="s">
        <v>77</v>
      </c>
      <c r="S18" s="1" t="s">
        <v>35</v>
      </c>
    </row>
    <row r="19" spans="1:19" customFormat="1" x14ac:dyDescent="0.25">
      <c r="A19" s="1" t="s">
        <v>301</v>
      </c>
      <c r="B19" s="9" t="s">
        <v>302</v>
      </c>
      <c r="C19" s="1" t="str">
        <f>VLOOKUP(B19,'[1]Tabla Clientes'!$A:$G,2,0)</f>
        <v>Arturo</v>
      </c>
      <c r="D19" s="1" t="str">
        <f>VLOOKUP(B19,'[1]Tabla Clientes'!$A:$G,3,0)</f>
        <v>Maradiaga</v>
      </c>
      <c r="E19" s="1" t="s">
        <v>4</v>
      </c>
      <c r="F19" s="1" t="s">
        <v>11</v>
      </c>
      <c r="G19" s="1" t="s">
        <v>35</v>
      </c>
      <c r="H19" s="1" t="s">
        <v>303</v>
      </c>
      <c r="I19" s="1" t="s">
        <v>153</v>
      </c>
      <c r="J19" s="1" t="s">
        <v>35</v>
      </c>
      <c r="K19" s="1">
        <v>1</v>
      </c>
      <c r="L19" s="5">
        <v>46070</v>
      </c>
      <c r="M19" s="5">
        <v>45943.491828703707</v>
      </c>
      <c r="N19" s="1">
        <v>2025</v>
      </c>
      <c r="O19" s="1" t="s">
        <v>86</v>
      </c>
      <c r="P19" s="1">
        <v>1</v>
      </c>
      <c r="Q19" s="1" t="s">
        <v>74</v>
      </c>
      <c r="R19" s="1" t="s">
        <v>77</v>
      </c>
      <c r="S19" s="1" t="s">
        <v>35</v>
      </c>
    </row>
    <row r="20" spans="1:19" x14ac:dyDescent="0.25">
      <c r="A20" s="1" t="s">
        <v>299</v>
      </c>
      <c r="B20" s="9">
        <v>189</v>
      </c>
      <c r="C20" s="1" t="str">
        <f>VLOOKUP(B20,'[1]Tabla Clientes'!$A:$G,2,0)</f>
        <v>Erika</v>
      </c>
      <c r="D20" s="1" t="str">
        <f>VLOOKUP(B20,'[1]Tabla Clientes'!$A:$G,3,0)</f>
        <v>Sanchez</v>
      </c>
      <c r="E20" s="1" t="s">
        <v>36</v>
      </c>
      <c r="F20" s="1" t="s">
        <v>32</v>
      </c>
      <c r="G20" s="1" t="s">
        <v>35</v>
      </c>
      <c r="H20" s="1" t="s">
        <v>300</v>
      </c>
      <c r="I20" s="1" t="s">
        <v>153</v>
      </c>
      <c r="J20" s="1" t="s">
        <v>35</v>
      </c>
      <c r="K20" s="1">
        <v>1</v>
      </c>
      <c r="L20" s="5">
        <v>46062</v>
      </c>
      <c r="M20" s="5">
        <v>46041</v>
      </c>
      <c r="N20" s="1">
        <v>2026</v>
      </c>
      <c r="O20" s="1" t="s">
        <v>21</v>
      </c>
      <c r="P20" s="1">
        <v>1</v>
      </c>
      <c r="Q20" s="1" t="s">
        <v>74</v>
      </c>
      <c r="R20" s="1" t="s">
        <v>77</v>
      </c>
      <c r="S20" s="1" t="s">
        <v>35</v>
      </c>
    </row>
    <row r="21" spans="1:19" x14ac:dyDescent="0.25">
      <c r="A21" s="1" t="s">
        <v>294</v>
      </c>
      <c r="B21" s="9" t="s">
        <v>296</v>
      </c>
      <c r="C21" s="1" t="str">
        <f>VLOOKUP(B21,'[1]Tabla Clientes'!$A:$G,2,0)</f>
        <v>Miguel</v>
      </c>
      <c r="D21" s="1" t="str">
        <f>VLOOKUP(B21,'[1]Tabla Clientes'!$A:$G,3,0)</f>
        <v>Bohorques</v>
      </c>
      <c r="E21" s="1" t="s">
        <v>36</v>
      </c>
      <c r="F21" s="1" t="s">
        <v>32</v>
      </c>
      <c r="G21" s="1" t="s">
        <v>35</v>
      </c>
      <c r="H21" s="1" t="s">
        <v>298</v>
      </c>
      <c r="I21" s="1" t="s">
        <v>153</v>
      </c>
      <c r="J21" s="1" t="s">
        <v>35</v>
      </c>
      <c r="K21" s="1">
        <v>1</v>
      </c>
      <c r="L21" s="5">
        <v>46047</v>
      </c>
      <c r="M21" s="5">
        <v>46047</v>
      </c>
      <c r="N21" s="1">
        <v>2026</v>
      </c>
      <c r="O21" s="1" t="s">
        <v>16</v>
      </c>
      <c r="P21" s="1">
        <v>1</v>
      </c>
      <c r="Q21" s="1" t="s">
        <v>75</v>
      </c>
      <c r="R21" s="1" t="s">
        <v>77</v>
      </c>
      <c r="S21" s="1" t="s">
        <v>35</v>
      </c>
    </row>
    <row r="22" spans="1:19" x14ac:dyDescent="0.25">
      <c r="A22" s="1" t="s">
        <v>295</v>
      </c>
      <c r="B22" s="9" t="s">
        <v>296</v>
      </c>
      <c r="C22" s="1" t="str">
        <f>VLOOKUP(B22,'[1]Tabla Clientes'!$A:$G,2,0)</f>
        <v>Miguel</v>
      </c>
      <c r="D22" s="1" t="str">
        <f>VLOOKUP(B22,'[1]Tabla Clientes'!$A:$G,3,0)</f>
        <v>Bohorques</v>
      </c>
      <c r="E22" s="1" t="s">
        <v>36</v>
      </c>
      <c r="F22" s="1" t="s">
        <v>32</v>
      </c>
      <c r="G22" s="1" t="s">
        <v>35</v>
      </c>
      <c r="H22" s="1" t="s">
        <v>297</v>
      </c>
      <c r="I22" s="1" t="s">
        <v>153</v>
      </c>
      <c r="J22" s="1" t="s">
        <v>35</v>
      </c>
      <c r="K22" s="1">
        <v>1</v>
      </c>
      <c r="L22" s="5">
        <v>46047</v>
      </c>
      <c r="M22" s="5">
        <v>46047</v>
      </c>
      <c r="N22" s="1">
        <v>2026</v>
      </c>
      <c r="O22" s="1" t="s">
        <v>16</v>
      </c>
      <c r="P22" s="1">
        <v>1</v>
      </c>
      <c r="Q22" s="1" t="s">
        <v>75</v>
      </c>
      <c r="R22" s="1" t="s">
        <v>77</v>
      </c>
      <c r="S22" s="1" t="s">
        <v>46</v>
      </c>
    </row>
    <row r="23" spans="1:19" x14ac:dyDescent="0.25">
      <c r="A23" s="1" t="s">
        <v>291</v>
      </c>
      <c r="B23" s="9" t="s">
        <v>292</v>
      </c>
      <c r="C23" s="1" t="str">
        <f>VLOOKUP(B23,'[1]Tabla Clientes'!$A:$G,2,0)</f>
        <v>Felipe</v>
      </c>
      <c r="D23" s="1" t="str">
        <f>VLOOKUP(B23,'[1]Tabla Clientes'!$A:$G,3,0)</f>
        <v>Quiroga</v>
      </c>
      <c r="E23" s="1" t="s">
        <v>36</v>
      </c>
      <c r="F23" s="1" t="s">
        <v>32</v>
      </c>
      <c r="G23" s="1" t="s">
        <v>35</v>
      </c>
      <c r="H23" s="1" t="s">
        <v>293</v>
      </c>
      <c r="I23" s="1" t="s">
        <v>153</v>
      </c>
      <c r="J23" s="1" t="s">
        <v>35</v>
      </c>
      <c r="K23" s="1">
        <v>1</v>
      </c>
      <c r="L23" s="5">
        <v>46046</v>
      </c>
      <c r="M23" s="5">
        <v>46043</v>
      </c>
      <c r="N23" s="1">
        <v>2026</v>
      </c>
      <c r="O23" s="1" t="s">
        <v>16</v>
      </c>
      <c r="P23" s="1">
        <v>1</v>
      </c>
      <c r="Q23" s="1" t="s">
        <v>75</v>
      </c>
      <c r="R23" s="1" t="s">
        <v>77</v>
      </c>
      <c r="S23" s="1" t="s">
        <v>35</v>
      </c>
    </row>
    <row r="24" spans="1:19" x14ac:dyDescent="0.25">
      <c r="A24" s="1" t="s">
        <v>288</v>
      </c>
      <c r="B24" s="9" t="s">
        <v>289</v>
      </c>
      <c r="C24" s="1" t="str">
        <f>VLOOKUP(B24,'[1]Tabla Clientes'!$A:$G,2,0)</f>
        <v>Maria</v>
      </c>
      <c r="D24" s="1" t="str">
        <f>VLOOKUP(B24,'[1]Tabla Clientes'!$A:$G,3,0)</f>
        <v>Duarte</v>
      </c>
      <c r="E24" s="1" t="s">
        <v>36</v>
      </c>
      <c r="F24" s="1" t="s">
        <v>32</v>
      </c>
      <c r="G24" s="1" t="s">
        <v>35</v>
      </c>
      <c r="H24" s="1" t="s">
        <v>290</v>
      </c>
      <c r="I24" s="1" t="s">
        <v>153</v>
      </c>
      <c r="J24" s="1" t="s">
        <v>35</v>
      </c>
      <c r="K24" s="1">
        <v>1</v>
      </c>
      <c r="L24" s="5">
        <v>46040</v>
      </c>
      <c r="M24" s="5">
        <v>46035</v>
      </c>
      <c r="N24" s="1">
        <v>2026</v>
      </c>
      <c r="O24" s="1" t="s">
        <v>16</v>
      </c>
      <c r="P24" s="1">
        <v>1</v>
      </c>
      <c r="Q24" s="1" t="s">
        <v>73</v>
      </c>
      <c r="R24" s="1" t="s">
        <v>77</v>
      </c>
      <c r="S24" s="1" t="s">
        <v>35</v>
      </c>
    </row>
    <row r="25" spans="1:19" x14ac:dyDescent="0.25">
      <c r="A25" s="1" t="s">
        <v>285</v>
      </c>
      <c r="B25" s="9" t="s">
        <v>286</v>
      </c>
      <c r="C25" s="1" t="str">
        <f>VLOOKUP(B25,'[1]Tabla Clientes'!$A:$G,2,0)</f>
        <v xml:space="preserve">Karen </v>
      </c>
      <c r="D25" s="1" t="str">
        <f>VLOOKUP(B25,'[1]Tabla Clientes'!$A:$G,3,0)</f>
        <v>Rubiola</v>
      </c>
      <c r="E25" s="1" t="s">
        <v>36</v>
      </c>
      <c r="F25" s="1" t="s">
        <v>32</v>
      </c>
      <c r="G25" s="1" t="s">
        <v>35</v>
      </c>
      <c r="H25" s="1" t="s">
        <v>287</v>
      </c>
      <c r="I25" s="1" t="s">
        <v>153</v>
      </c>
      <c r="J25" s="1" t="s">
        <v>35</v>
      </c>
      <c r="K25" s="1">
        <v>1</v>
      </c>
      <c r="L25" s="5">
        <v>46040</v>
      </c>
      <c r="M25" s="5">
        <v>46028</v>
      </c>
      <c r="N25" s="1">
        <v>2026</v>
      </c>
      <c r="O25" s="1" t="s">
        <v>16</v>
      </c>
      <c r="P25" s="1">
        <v>1</v>
      </c>
      <c r="Q25" s="1" t="s">
        <v>73</v>
      </c>
      <c r="R25" s="1" t="s">
        <v>77</v>
      </c>
      <c r="S25" s="1" t="s">
        <v>35</v>
      </c>
    </row>
    <row r="26" spans="1:19" x14ac:dyDescent="0.25">
      <c r="A26" s="1" t="s">
        <v>278</v>
      </c>
      <c r="B26" s="9" t="s">
        <v>279</v>
      </c>
      <c r="C26" s="1" t="str">
        <f>VLOOKUP(B26,'[1]Tabla Clientes'!$A:$G,2,0)</f>
        <v>Nilson</v>
      </c>
      <c r="D26" s="1" t="str">
        <f>VLOOKUP(B26,'[1]Tabla Clientes'!$A:$G,3,0)</f>
        <v>Mechas</v>
      </c>
      <c r="E26" s="1" t="s">
        <v>5</v>
      </c>
      <c r="F26" s="1" t="s">
        <v>12</v>
      </c>
      <c r="G26" s="1" t="s">
        <v>35</v>
      </c>
      <c r="H26" s="1" t="s">
        <v>282</v>
      </c>
      <c r="I26" s="1" t="s">
        <v>153</v>
      </c>
      <c r="J26" s="1" t="s">
        <v>35</v>
      </c>
      <c r="K26" s="1">
        <v>1</v>
      </c>
      <c r="L26" s="5">
        <v>46016</v>
      </c>
      <c r="M26" s="5">
        <v>46014.896064814813</v>
      </c>
      <c r="N26" s="1">
        <v>2025</v>
      </c>
      <c r="O26" s="1" t="s">
        <v>85</v>
      </c>
      <c r="P26" s="1">
        <v>1</v>
      </c>
      <c r="Q26" s="1" t="s">
        <v>75</v>
      </c>
      <c r="R26" s="1" t="s">
        <v>77</v>
      </c>
      <c r="S26" s="1" t="s">
        <v>35</v>
      </c>
    </row>
    <row r="27" spans="1:19" x14ac:dyDescent="0.25">
      <c r="A27" s="1" t="s">
        <v>283</v>
      </c>
      <c r="B27" s="9">
        <v>216</v>
      </c>
      <c r="C27" s="1" t="str">
        <f>VLOOKUP(B27,'[1]Tabla Clientes'!$A:$G,2,0)</f>
        <v>Gustavo</v>
      </c>
      <c r="D27" s="1" t="str">
        <f>VLOOKUP(B27,'[1]Tabla Clientes'!$A:$G,3,0)</f>
        <v>Onsalo</v>
      </c>
      <c r="E27" s="1" t="s">
        <v>36</v>
      </c>
      <c r="F27" s="1" t="s">
        <v>32</v>
      </c>
      <c r="G27" s="1" t="s">
        <v>35</v>
      </c>
      <c r="H27" s="1" t="s">
        <v>284</v>
      </c>
      <c r="I27" s="1" t="s">
        <v>153</v>
      </c>
      <c r="J27" s="1" t="s">
        <v>35</v>
      </c>
      <c r="K27" s="1">
        <v>1</v>
      </c>
      <c r="L27" s="5">
        <v>46016</v>
      </c>
      <c r="M27" s="5">
        <v>46012</v>
      </c>
      <c r="N27" s="1">
        <v>2025</v>
      </c>
      <c r="O27" s="1" t="s">
        <v>85</v>
      </c>
      <c r="P27" s="1">
        <v>1</v>
      </c>
      <c r="Q27" s="1" t="s">
        <v>74</v>
      </c>
      <c r="R27" s="1" t="s">
        <v>77</v>
      </c>
      <c r="S27" s="1" t="s">
        <v>35</v>
      </c>
    </row>
    <row r="28" spans="1:19" x14ac:dyDescent="0.25">
      <c r="A28" s="1" t="s">
        <v>281</v>
      </c>
      <c r="B28" s="9" t="s">
        <v>279</v>
      </c>
      <c r="C28" s="1" t="str">
        <f>VLOOKUP(B28,'[1]Tabla Clientes'!$A:$G,2,0)</f>
        <v>Nilson</v>
      </c>
      <c r="D28" s="1" t="str">
        <f>VLOOKUP(B28,'[1]Tabla Clientes'!$A:$G,3,0)</f>
        <v>Mechas</v>
      </c>
      <c r="E28" s="1" t="s">
        <v>5</v>
      </c>
      <c r="F28" s="1" t="s">
        <v>12</v>
      </c>
      <c r="G28" s="1" t="s">
        <v>35</v>
      </c>
      <c r="H28" s="1" t="s">
        <v>280</v>
      </c>
      <c r="I28" s="1" t="s">
        <v>153</v>
      </c>
      <c r="J28" s="1" t="s">
        <v>35</v>
      </c>
      <c r="K28" s="1">
        <v>1</v>
      </c>
      <c r="L28" s="5">
        <v>46016</v>
      </c>
      <c r="M28" s="5">
        <v>46001</v>
      </c>
      <c r="N28" s="1">
        <v>2025</v>
      </c>
      <c r="O28" s="1" t="s">
        <v>85</v>
      </c>
      <c r="P28" s="1">
        <v>1</v>
      </c>
      <c r="Q28" s="1" t="s">
        <v>75</v>
      </c>
      <c r="R28" s="1" t="s">
        <v>77</v>
      </c>
      <c r="S28" s="1" t="s">
        <v>35</v>
      </c>
    </row>
    <row r="29" spans="1:19" x14ac:dyDescent="0.25">
      <c r="A29" s="1" t="s">
        <v>275</v>
      </c>
      <c r="B29" s="9" t="s">
        <v>276</v>
      </c>
      <c r="C29" s="1" t="str">
        <f>VLOOKUP(B29,'[1]Tabla Clientes'!$A:$G,2,0)</f>
        <v>Hernan Papa</v>
      </c>
      <c r="D29" s="1" t="str">
        <f>VLOOKUP(B29,'[1]Tabla Clientes'!$A:$G,3,0)</f>
        <v>Coronado</v>
      </c>
      <c r="E29" s="1" t="s">
        <v>5</v>
      </c>
      <c r="F29" s="1" t="s">
        <v>12</v>
      </c>
      <c r="G29" s="1" t="s">
        <v>35</v>
      </c>
      <c r="H29" s="1" t="s">
        <v>277</v>
      </c>
      <c r="I29" s="1" t="s">
        <v>153</v>
      </c>
      <c r="J29" s="1" t="s">
        <v>35</v>
      </c>
      <c r="K29" s="1">
        <v>1</v>
      </c>
      <c r="L29" s="5">
        <v>46016</v>
      </c>
      <c r="M29" s="5">
        <v>45994</v>
      </c>
      <c r="N29" s="1">
        <v>2025</v>
      </c>
      <c r="O29" s="1" t="s">
        <v>85</v>
      </c>
      <c r="P29" s="1">
        <v>1</v>
      </c>
      <c r="Q29" s="1" t="s">
        <v>75</v>
      </c>
      <c r="R29" s="1" t="s">
        <v>77</v>
      </c>
      <c r="S29" s="1" t="s">
        <v>35</v>
      </c>
    </row>
    <row r="30" spans="1:19" x14ac:dyDescent="0.25">
      <c r="A30" s="1" t="s">
        <v>274</v>
      </c>
      <c r="B30" s="9">
        <v>211</v>
      </c>
      <c r="C30" s="1" t="str">
        <f>VLOOKUP(B30,'[1]Tabla Clientes'!$A:$G,2,0)</f>
        <v xml:space="preserve">Jose Omar </v>
      </c>
      <c r="D30" s="1" t="str">
        <f>VLOOKUP(B30,'[1]Tabla Clientes'!$A:$G,3,0)</f>
        <v>Valencia</v>
      </c>
      <c r="E30" s="1" t="s">
        <v>187</v>
      </c>
      <c r="F30" s="1" t="s">
        <v>188</v>
      </c>
      <c r="G30" s="1" t="s">
        <v>35</v>
      </c>
      <c r="H30" s="1" t="s">
        <v>273</v>
      </c>
      <c r="I30" s="1" t="s">
        <v>153</v>
      </c>
      <c r="J30" s="1" t="s">
        <v>35</v>
      </c>
      <c r="K30" s="1">
        <v>1</v>
      </c>
      <c r="L30" s="5">
        <v>46010</v>
      </c>
      <c r="M30" s="5">
        <v>46003</v>
      </c>
      <c r="N30" s="1">
        <v>2025</v>
      </c>
      <c r="O30" s="1" t="s">
        <v>85</v>
      </c>
      <c r="P30" s="1">
        <v>1</v>
      </c>
      <c r="Q30" s="1" t="s">
        <v>74</v>
      </c>
      <c r="R30" s="1" t="s">
        <v>77</v>
      </c>
      <c r="S30" s="1" t="s">
        <v>35</v>
      </c>
    </row>
    <row r="31" spans="1:19" x14ac:dyDescent="0.25">
      <c r="A31" s="1" t="s">
        <v>271</v>
      </c>
      <c r="B31" s="9" t="s">
        <v>17</v>
      </c>
      <c r="C31" s="1" t="str">
        <f>VLOOKUP(B31,'[1]Tabla Clientes'!$A:$G,2,0)</f>
        <v>Jan</v>
      </c>
      <c r="D31" s="1" t="str">
        <f>VLOOKUP(B31,'[1]Tabla Clientes'!$A:$G,3,0)</f>
        <v>Garcia</v>
      </c>
      <c r="E31" s="1" t="s">
        <v>36</v>
      </c>
      <c r="F31" s="1" t="s">
        <v>32</v>
      </c>
      <c r="G31" s="1" t="s">
        <v>35</v>
      </c>
      <c r="H31" s="1" t="s">
        <v>272</v>
      </c>
      <c r="I31" s="1" t="s">
        <v>153</v>
      </c>
      <c r="J31" s="1" t="s">
        <v>35</v>
      </c>
      <c r="K31" s="1">
        <v>1</v>
      </c>
      <c r="L31" s="5">
        <v>46004</v>
      </c>
      <c r="M31" s="5">
        <v>46005</v>
      </c>
      <c r="N31" s="1">
        <v>2025</v>
      </c>
      <c r="O31" s="1" t="s">
        <v>85</v>
      </c>
      <c r="P31" s="1">
        <v>1</v>
      </c>
      <c r="Q31" s="1" t="s">
        <v>73</v>
      </c>
      <c r="R31" s="1" t="s">
        <v>77</v>
      </c>
      <c r="S31" s="1" t="s">
        <v>35</v>
      </c>
    </row>
    <row r="32" spans="1:19" x14ac:dyDescent="0.25">
      <c r="A32" s="1" t="s">
        <v>268</v>
      </c>
      <c r="B32" s="9" t="s">
        <v>269</v>
      </c>
      <c r="C32" s="1" t="str">
        <f>VLOOKUP(B32,'[1]Tabla Clientes'!$A:$G,2,0)</f>
        <v xml:space="preserve">Andres </v>
      </c>
      <c r="D32" s="1" t="str">
        <f>VLOOKUP(B32,'[1]Tabla Clientes'!$A:$G,3,0)</f>
        <v>Chantre</v>
      </c>
      <c r="E32" s="1" t="s">
        <v>36</v>
      </c>
      <c r="F32" s="1" t="s">
        <v>32</v>
      </c>
      <c r="G32" s="1" t="s">
        <v>35</v>
      </c>
      <c r="H32" s="1" t="s">
        <v>270</v>
      </c>
      <c r="I32" s="1" t="s">
        <v>153</v>
      </c>
      <c r="J32" s="1" t="s">
        <v>35</v>
      </c>
      <c r="K32" s="1">
        <v>1</v>
      </c>
      <c r="L32" s="5">
        <v>46004</v>
      </c>
      <c r="M32" s="5">
        <v>45977</v>
      </c>
      <c r="N32" s="1">
        <v>2025</v>
      </c>
      <c r="O32" s="1" t="s">
        <v>85</v>
      </c>
      <c r="P32" s="1">
        <v>1</v>
      </c>
      <c r="Q32" s="1" t="s">
        <v>74</v>
      </c>
      <c r="R32" s="1" t="s">
        <v>77</v>
      </c>
      <c r="S32" s="1" t="s">
        <v>35</v>
      </c>
    </row>
    <row r="33" spans="1:19" x14ac:dyDescent="0.25">
      <c r="A33" s="1" t="s">
        <v>266</v>
      </c>
      <c r="B33" s="9">
        <v>208</v>
      </c>
      <c r="C33" s="1" t="str">
        <f>VLOOKUP(B33,'[1]Tabla Clientes'!$A:$G,2,0)</f>
        <v>Valeria</v>
      </c>
      <c r="D33" s="1" t="str">
        <f>VLOOKUP(B33,'[1]Tabla Clientes'!$A:$G,3,0)</f>
        <v xml:space="preserve">Cardenas </v>
      </c>
      <c r="E33" s="1" t="s">
        <v>36</v>
      </c>
      <c r="F33" s="1" t="s">
        <v>32</v>
      </c>
      <c r="G33" s="1" t="s">
        <v>35</v>
      </c>
      <c r="H33" s="1" t="s">
        <v>267</v>
      </c>
      <c r="I33" s="1" t="s">
        <v>37</v>
      </c>
      <c r="J33" s="1" t="s">
        <v>35</v>
      </c>
      <c r="K33" s="1">
        <v>1</v>
      </c>
      <c r="L33" s="5">
        <v>45966</v>
      </c>
      <c r="M33" s="5">
        <v>45957</v>
      </c>
      <c r="N33" s="1">
        <v>2025</v>
      </c>
      <c r="O33" s="1" t="s">
        <v>70</v>
      </c>
      <c r="P33" s="4">
        <v>1</v>
      </c>
      <c r="Q33" s="1" t="s">
        <v>74</v>
      </c>
      <c r="R33" s="1" t="s">
        <v>77</v>
      </c>
      <c r="S33" s="1" t="s">
        <v>35</v>
      </c>
    </row>
    <row r="34" spans="1:19" x14ac:dyDescent="0.25">
      <c r="A34" s="1" t="s">
        <v>260</v>
      </c>
      <c r="B34" s="9" t="s">
        <v>261</v>
      </c>
      <c r="C34" s="1" t="str">
        <f>VLOOKUP(B34,'[1]Tabla Clientes'!$A:$G,2,0)</f>
        <v>Martin</v>
      </c>
      <c r="D34" s="1" t="str">
        <f>VLOOKUP(B34,'[1]Tabla Clientes'!$A:$G,3,0)</f>
        <v>Barrera</v>
      </c>
      <c r="E34" s="1" t="s">
        <v>36</v>
      </c>
      <c r="F34" s="1" t="s">
        <v>32</v>
      </c>
      <c r="G34" s="1" t="s">
        <v>35</v>
      </c>
      <c r="H34" s="1" t="s">
        <v>262</v>
      </c>
      <c r="I34" s="1" t="s">
        <v>37</v>
      </c>
      <c r="J34" s="1" t="s">
        <v>35</v>
      </c>
      <c r="K34" s="1">
        <v>1</v>
      </c>
      <c r="L34" s="5">
        <v>45966</v>
      </c>
      <c r="M34" s="5">
        <v>45957</v>
      </c>
      <c r="N34" s="1">
        <v>2025</v>
      </c>
      <c r="O34" s="1" t="s">
        <v>70</v>
      </c>
      <c r="P34" s="4">
        <v>1</v>
      </c>
      <c r="Q34" s="1" t="s">
        <v>75</v>
      </c>
      <c r="R34" s="1" t="s">
        <v>77</v>
      </c>
      <c r="S34" s="1" t="s">
        <v>35</v>
      </c>
    </row>
    <row r="35" spans="1:19" x14ac:dyDescent="0.25">
      <c r="A35" s="1" t="s">
        <v>263</v>
      </c>
      <c r="B35" s="9" t="s">
        <v>264</v>
      </c>
      <c r="C35" s="1" t="str">
        <f>VLOOKUP(B35,'[1]Tabla Clientes'!$A:$G,2,0)</f>
        <v xml:space="preserve">Fidel </v>
      </c>
      <c r="D35" s="1" t="str">
        <f>VLOOKUP(B35,'[1]Tabla Clientes'!$A:$G,3,0)</f>
        <v>Castro</v>
      </c>
      <c r="E35" s="1" t="s">
        <v>36</v>
      </c>
      <c r="F35" s="1" t="s">
        <v>32</v>
      </c>
      <c r="G35" s="1" t="s">
        <v>35</v>
      </c>
      <c r="H35" s="1" t="s">
        <v>265</v>
      </c>
      <c r="I35" s="1" t="s">
        <v>37</v>
      </c>
      <c r="J35" s="1" t="s">
        <v>35</v>
      </c>
      <c r="K35" s="1">
        <v>1</v>
      </c>
      <c r="L35" s="5">
        <v>45966</v>
      </c>
      <c r="M35" s="5">
        <v>45956</v>
      </c>
      <c r="N35" s="1">
        <v>2025</v>
      </c>
      <c r="O35" s="1" t="s">
        <v>70</v>
      </c>
      <c r="P35" s="4">
        <v>1</v>
      </c>
      <c r="Q35" s="1" t="s">
        <v>73</v>
      </c>
      <c r="R35" s="1" t="s">
        <v>77</v>
      </c>
      <c r="S35" s="1" t="s">
        <v>35</v>
      </c>
    </row>
    <row r="36" spans="1:19" x14ac:dyDescent="0.25">
      <c r="A36" s="1" t="s">
        <v>257</v>
      </c>
      <c r="B36" s="9" t="s">
        <v>258</v>
      </c>
      <c r="C36" s="1" t="str">
        <f>VLOOKUP(B36,'[1]Tabla Clientes'!$A:$G,2,0)</f>
        <v>Jean Paul</v>
      </c>
      <c r="D36" s="1" t="str">
        <f>VLOOKUP(B36,'[1]Tabla Clientes'!$A:$G,3,0)</f>
        <v>Brijaldo</v>
      </c>
      <c r="E36" s="1" t="s">
        <v>5</v>
      </c>
      <c r="F36" s="1" t="s">
        <v>12</v>
      </c>
      <c r="G36" s="1" t="s">
        <v>35</v>
      </c>
      <c r="H36" s="1" t="s">
        <v>259</v>
      </c>
      <c r="I36" s="1" t="s">
        <v>37</v>
      </c>
      <c r="J36" s="1" t="s">
        <v>35</v>
      </c>
      <c r="K36" s="1">
        <v>1</v>
      </c>
      <c r="L36" s="5">
        <v>45965</v>
      </c>
      <c r="M36" s="5">
        <v>45956</v>
      </c>
      <c r="N36" s="1">
        <v>2025</v>
      </c>
      <c r="O36" s="1" t="s">
        <v>70</v>
      </c>
      <c r="P36" s="4">
        <v>1</v>
      </c>
      <c r="Q36" s="1" t="s">
        <v>75</v>
      </c>
      <c r="R36" s="1" t="s">
        <v>77</v>
      </c>
      <c r="S36" s="1" t="s">
        <v>35</v>
      </c>
    </row>
    <row r="37" spans="1:19" x14ac:dyDescent="0.25">
      <c r="A37" s="1" t="s">
        <v>254</v>
      </c>
      <c r="B37" s="9" t="s">
        <v>255</v>
      </c>
      <c r="C37" s="1" t="str">
        <f>VLOOKUP(B37,'[1]Tabla Clientes'!$A:$G,2,0)</f>
        <v>Maria Paula</v>
      </c>
      <c r="D37" s="1" t="str">
        <f>VLOOKUP(B37,'[1]Tabla Clientes'!$A:$G,3,0)</f>
        <v>Cely</v>
      </c>
      <c r="E37" s="1" t="s">
        <v>36</v>
      </c>
      <c r="F37" s="1" t="s">
        <v>32</v>
      </c>
      <c r="G37" s="1" t="s">
        <v>35</v>
      </c>
      <c r="H37" s="1" t="s">
        <v>256</v>
      </c>
      <c r="I37" s="1" t="s">
        <v>37</v>
      </c>
      <c r="J37" s="1" t="s">
        <v>35</v>
      </c>
      <c r="K37" s="1">
        <v>1</v>
      </c>
      <c r="L37" s="5">
        <v>45952</v>
      </c>
      <c r="M37" s="5">
        <v>45949</v>
      </c>
      <c r="N37" s="1">
        <v>2025</v>
      </c>
      <c r="O37" s="1" t="s">
        <v>70</v>
      </c>
      <c r="P37" s="4">
        <v>1</v>
      </c>
      <c r="Q37" s="1" t="s">
        <v>73</v>
      </c>
      <c r="R37" s="1" t="s">
        <v>77</v>
      </c>
      <c r="S37" s="1" t="s">
        <v>35</v>
      </c>
    </row>
    <row r="38" spans="1:19" x14ac:dyDescent="0.25">
      <c r="A38" s="1" t="s">
        <v>251</v>
      </c>
      <c r="B38" s="9" t="s">
        <v>252</v>
      </c>
      <c r="C38" s="1" t="str">
        <f>VLOOKUP(B38,'[1]Tabla Clientes'!$A:$G,2,0)</f>
        <v>Gildardo</v>
      </c>
      <c r="D38" s="1" t="str">
        <f>VLOOKUP(B38,'[1]Tabla Clientes'!$A:$G,3,0)</f>
        <v>Casallas</v>
      </c>
      <c r="E38" s="1" t="s">
        <v>36</v>
      </c>
      <c r="F38" s="1" t="s">
        <v>32</v>
      </c>
      <c r="G38" s="1" t="s">
        <v>35</v>
      </c>
      <c r="H38" s="1" t="s">
        <v>253</v>
      </c>
      <c r="I38" s="1" t="s">
        <v>37</v>
      </c>
      <c r="J38" s="1" t="s">
        <v>35</v>
      </c>
      <c r="K38" s="1">
        <v>1</v>
      </c>
      <c r="L38" s="5">
        <v>45931</v>
      </c>
      <c r="M38" s="5">
        <v>45924.850694444445</v>
      </c>
      <c r="N38" s="1">
        <v>2025</v>
      </c>
      <c r="O38" s="1" t="s">
        <v>28</v>
      </c>
      <c r="P38" s="4">
        <v>1</v>
      </c>
      <c r="Q38" s="1" t="s">
        <v>75</v>
      </c>
      <c r="R38" s="1" t="s">
        <v>77</v>
      </c>
      <c r="S38" s="1" t="s">
        <v>35</v>
      </c>
    </row>
    <row r="39" spans="1:19" x14ac:dyDescent="0.25">
      <c r="A39" s="1" t="s">
        <v>245</v>
      </c>
      <c r="B39" s="9" t="s">
        <v>246</v>
      </c>
      <c r="C39" s="1" t="str">
        <f>VLOOKUP(B39,'[1]Tabla Clientes'!$A:$G,2,0)</f>
        <v>Giovanni</v>
      </c>
      <c r="D39" s="1" t="str">
        <f>VLOOKUP(B39,'[1]Tabla Clientes'!$A:$G,3,0)</f>
        <v>Castro</v>
      </c>
      <c r="E39" s="1" t="s">
        <v>4</v>
      </c>
      <c r="F39" s="1" t="s">
        <v>11</v>
      </c>
      <c r="G39" s="1" t="s">
        <v>35</v>
      </c>
      <c r="H39" s="1" t="s">
        <v>247</v>
      </c>
      <c r="I39" s="1" t="s">
        <v>153</v>
      </c>
      <c r="J39" s="1" t="s">
        <v>35</v>
      </c>
      <c r="K39" s="1">
        <v>1</v>
      </c>
      <c r="L39" s="5">
        <v>45927</v>
      </c>
      <c r="M39" s="5">
        <v>45915</v>
      </c>
      <c r="N39" s="1">
        <v>2025</v>
      </c>
      <c r="O39" s="1" t="s">
        <v>28</v>
      </c>
      <c r="P39" s="1">
        <v>1</v>
      </c>
      <c r="Q39" s="1" t="s">
        <v>74</v>
      </c>
      <c r="R39" s="1" t="s">
        <v>77</v>
      </c>
      <c r="S39" s="1" t="s">
        <v>35</v>
      </c>
    </row>
    <row r="40" spans="1:19" x14ac:dyDescent="0.25">
      <c r="A40" s="1" t="s">
        <v>248</v>
      </c>
      <c r="B40" s="9" t="s">
        <v>249</v>
      </c>
      <c r="C40" s="1" t="str">
        <f>VLOOKUP(B40,'[1]Tabla Clientes'!$A:$G,2,0)</f>
        <v xml:space="preserve">Mauricio </v>
      </c>
      <c r="D40" s="1" t="str">
        <f>VLOOKUP(B40,'[1]Tabla Clientes'!$A:$G,3,0)</f>
        <v>Bonilla</v>
      </c>
      <c r="E40" s="1" t="s">
        <v>4</v>
      </c>
      <c r="F40" s="1" t="s">
        <v>11</v>
      </c>
      <c r="G40" s="1" t="s">
        <v>35</v>
      </c>
      <c r="H40" s="1" t="s">
        <v>250</v>
      </c>
      <c r="I40" s="1" t="s">
        <v>153</v>
      </c>
      <c r="J40" s="1" t="s">
        <v>35</v>
      </c>
      <c r="K40" s="1">
        <v>1</v>
      </c>
      <c r="L40" s="5">
        <v>45927</v>
      </c>
      <c r="M40" s="5">
        <v>45910.316423611112</v>
      </c>
      <c r="N40" s="1">
        <v>2025</v>
      </c>
      <c r="O40" s="1" t="s">
        <v>28</v>
      </c>
      <c r="P40" s="1">
        <v>1</v>
      </c>
      <c r="Q40" s="1" t="s">
        <v>74</v>
      </c>
      <c r="R40" s="1" t="s">
        <v>77</v>
      </c>
      <c r="S40" s="1" t="s">
        <v>35</v>
      </c>
    </row>
    <row r="41" spans="1:19" x14ac:dyDescent="0.25">
      <c r="A41" s="1" t="s">
        <v>243</v>
      </c>
      <c r="B41" s="9">
        <v>222</v>
      </c>
      <c r="C41" s="1" t="str">
        <f>VLOOKUP(B41,'[1]Tabla Clientes'!$A:$G,2,0)</f>
        <v>Nicolas</v>
      </c>
      <c r="D41" s="1" t="str">
        <f>VLOOKUP(B41,'[1]Tabla Clientes'!$A:$G,3,0)</f>
        <v>Sanchez</v>
      </c>
      <c r="E41" s="1" t="s">
        <v>36</v>
      </c>
      <c r="F41" s="1" t="s">
        <v>32</v>
      </c>
      <c r="G41" s="1" t="s">
        <v>35</v>
      </c>
      <c r="H41" s="1" t="s">
        <v>244</v>
      </c>
      <c r="I41" s="1" t="s">
        <v>153</v>
      </c>
      <c r="J41" s="1" t="s">
        <v>35</v>
      </c>
      <c r="K41" s="1">
        <v>1</v>
      </c>
      <c r="L41" s="5">
        <v>45912</v>
      </c>
      <c r="M41" s="5">
        <v>45911</v>
      </c>
      <c r="N41" s="1">
        <v>2025</v>
      </c>
      <c r="O41" s="1" t="s">
        <v>28</v>
      </c>
      <c r="P41" s="1">
        <v>1</v>
      </c>
      <c r="Q41" s="1" t="s">
        <v>75</v>
      </c>
      <c r="R41" s="1" t="s">
        <v>77</v>
      </c>
      <c r="S41" s="1" t="s">
        <v>35</v>
      </c>
    </row>
    <row r="42" spans="1:19" x14ac:dyDescent="0.25">
      <c r="A42" s="1" t="s">
        <v>204</v>
      </c>
      <c r="B42" s="9" t="s">
        <v>171</v>
      </c>
      <c r="C42" s="1" t="str">
        <f>VLOOKUP(B42,'[1]Tabla Clientes'!$A:$G,2,0)</f>
        <v>Daniela</v>
      </c>
      <c r="D42" s="1" t="str">
        <f>VLOOKUP(B42,'[1]Tabla Clientes'!$A:$G,3,0)</f>
        <v>Cifuentes</v>
      </c>
      <c r="E42" s="1" t="s">
        <v>36</v>
      </c>
      <c r="F42" s="1" t="s">
        <v>32</v>
      </c>
      <c r="G42" s="1" t="s">
        <v>35</v>
      </c>
      <c r="H42" s="1" t="s">
        <v>242</v>
      </c>
      <c r="I42" s="1" t="s">
        <v>37</v>
      </c>
      <c r="J42" s="1" t="s">
        <v>35</v>
      </c>
      <c r="K42" s="1">
        <v>1</v>
      </c>
      <c r="L42" s="5">
        <v>45872</v>
      </c>
      <c r="M42" s="5">
        <v>45864</v>
      </c>
      <c r="N42" s="1">
        <v>2025</v>
      </c>
      <c r="O42" s="1" t="s">
        <v>26</v>
      </c>
      <c r="P42" s="4">
        <v>1</v>
      </c>
      <c r="Q42" s="1" t="s">
        <v>75</v>
      </c>
      <c r="R42" s="1" t="s">
        <v>97</v>
      </c>
      <c r="S42" s="1" t="s">
        <v>35</v>
      </c>
    </row>
    <row r="43" spans="1:19" x14ac:dyDescent="0.25">
      <c r="A43" s="1" t="s">
        <v>226</v>
      </c>
      <c r="B43" s="9" t="s">
        <v>221</v>
      </c>
      <c r="C43" s="1" t="str">
        <f>VLOOKUP(B43,'[1]Tabla Clientes'!$A:$G,2,0)</f>
        <v>Ivan</v>
      </c>
      <c r="D43" s="1" t="str">
        <f>VLOOKUP(B43,'[1]Tabla Clientes'!$A:$G,3,0)</f>
        <v>Peñarete</v>
      </c>
      <c r="E43" s="1" t="s">
        <v>4</v>
      </c>
      <c r="F43" s="1" t="s">
        <v>11</v>
      </c>
      <c r="G43" s="1" t="s">
        <v>35</v>
      </c>
      <c r="H43" s="1" t="s">
        <v>222</v>
      </c>
      <c r="I43" s="1" t="s">
        <v>153</v>
      </c>
      <c r="J43" s="1" t="s">
        <v>35</v>
      </c>
      <c r="K43" s="1">
        <v>1</v>
      </c>
      <c r="L43" s="5">
        <v>45851</v>
      </c>
      <c r="M43" s="5">
        <v>45843</v>
      </c>
      <c r="N43" s="1">
        <v>2025</v>
      </c>
      <c r="O43" s="1" t="s">
        <v>26</v>
      </c>
      <c r="P43" s="1">
        <v>1</v>
      </c>
      <c r="Q43" s="1" t="s">
        <v>74</v>
      </c>
      <c r="R43" s="1" t="s">
        <v>77</v>
      </c>
      <c r="S43" s="1" t="s">
        <v>35</v>
      </c>
    </row>
    <row r="44" spans="1:19" x14ac:dyDescent="0.25">
      <c r="A44" s="1" t="s">
        <v>201</v>
      </c>
      <c r="B44" s="9" t="s">
        <v>171</v>
      </c>
      <c r="C44" s="1" t="str">
        <f>VLOOKUP(B44,'[1]Tabla Clientes'!$A:$G,2,0)</f>
        <v>Daniela</v>
      </c>
      <c r="D44" s="1" t="str">
        <f>VLOOKUP(B44,'[1]Tabla Clientes'!$A:$G,3,0)</f>
        <v>Cifuentes</v>
      </c>
      <c r="E44" s="1" t="s">
        <v>4</v>
      </c>
      <c r="F44" s="1" t="s">
        <v>11</v>
      </c>
      <c r="G44" s="1" t="s">
        <v>35</v>
      </c>
      <c r="H44" s="1" t="s">
        <v>224</v>
      </c>
      <c r="I44" s="1" t="s">
        <v>37</v>
      </c>
      <c r="J44" s="1" t="s">
        <v>35</v>
      </c>
      <c r="K44" s="1">
        <v>1</v>
      </c>
      <c r="L44" s="5">
        <v>45845</v>
      </c>
      <c r="M44" s="5">
        <v>45845</v>
      </c>
      <c r="N44" s="1">
        <v>2025</v>
      </c>
      <c r="O44" s="1" t="s">
        <v>26</v>
      </c>
      <c r="P44" s="4">
        <v>1</v>
      </c>
      <c r="Q44" s="1" t="s">
        <v>75</v>
      </c>
      <c r="R44" s="1" t="s">
        <v>97</v>
      </c>
      <c r="S44" s="1" t="s">
        <v>35</v>
      </c>
    </row>
    <row r="45" spans="1:19" x14ac:dyDescent="0.25">
      <c r="A45" s="1" t="s">
        <v>227</v>
      </c>
      <c r="B45" s="9">
        <v>217</v>
      </c>
      <c r="C45" s="1" t="str">
        <f>VLOOKUP(B45,'[1]Tabla Clientes'!$A:$G,2,0)</f>
        <v>Omar Fernando</v>
      </c>
      <c r="D45" s="1" t="str">
        <f>VLOOKUP(B45,'[1]Tabla Clientes'!$A:$G,3,0)</f>
        <v>Cruz</v>
      </c>
      <c r="E45" s="1" t="s">
        <v>36</v>
      </c>
      <c r="F45" s="1" t="s">
        <v>32</v>
      </c>
      <c r="G45" s="1" t="s">
        <v>35</v>
      </c>
      <c r="H45" s="1" t="s">
        <v>220</v>
      </c>
      <c r="I45" s="1" t="s">
        <v>153</v>
      </c>
      <c r="J45" s="1" t="s">
        <v>35</v>
      </c>
      <c r="K45" s="1">
        <v>1</v>
      </c>
      <c r="L45" s="5">
        <v>45844</v>
      </c>
      <c r="M45" s="5">
        <v>45824</v>
      </c>
      <c r="N45" s="1">
        <v>2025</v>
      </c>
      <c r="O45" s="1" t="s">
        <v>25</v>
      </c>
      <c r="P45" s="1">
        <v>1</v>
      </c>
      <c r="Q45" s="1" t="s">
        <v>74</v>
      </c>
      <c r="R45" s="1" t="s">
        <v>77</v>
      </c>
      <c r="S45" s="1" t="s">
        <v>35</v>
      </c>
    </row>
    <row r="46" spans="1:19" x14ac:dyDescent="0.25">
      <c r="A46" s="1" t="s">
        <v>228</v>
      </c>
      <c r="B46" s="9">
        <v>190</v>
      </c>
      <c r="C46" s="1" t="str">
        <f>VLOOKUP(B46,'[1]Tabla Clientes'!$A:$G,2,0)</f>
        <v xml:space="preserve">Sebastian </v>
      </c>
      <c r="D46" s="1" t="str">
        <f>VLOOKUP(B46,'[1]Tabla Clientes'!$A:$G,3,0)</f>
        <v>Gomez</v>
      </c>
      <c r="E46" s="1" t="s">
        <v>36</v>
      </c>
      <c r="F46" s="1" t="s">
        <v>32</v>
      </c>
      <c r="G46" s="1" t="s">
        <v>35</v>
      </c>
      <c r="H46" s="1" t="s">
        <v>219</v>
      </c>
      <c r="I46" s="1" t="s">
        <v>153</v>
      </c>
      <c r="J46" s="1" t="s">
        <v>35</v>
      </c>
      <c r="K46" s="1">
        <v>1</v>
      </c>
      <c r="L46" s="5">
        <v>45832</v>
      </c>
      <c r="M46" s="5">
        <v>45829</v>
      </c>
      <c r="N46" s="1">
        <v>2025</v>
      </c>
      <c r="O46" s="1" t="s">
        <v>25</v>
      </c>
      <c r="P46" s="1">
        <v>1</v>
      </c>
      <c r="Q46" s="1" t="s">
        <v>74</v>
      </c>
      <c r="R46" s="1" t="s">
        <v>77</v>
      </c>
      <c r="S46" s="1" t="s">
        <v>35</v>
      </c>
    </row>
    <row r="47" spans="1:19" x14ac:dyDescent="0.25">
      <c r="A47" s="1" t="s">
        <v>229</v>
      </c>
      <c r="B47" s="9" t="s">
        <v>17</v>
      </c>
      <c r="C47" s="1" t="str">
        <f>VLOOKUP(B47,'[1]Tabla Clientes'!$A:$G,2,0)</f>
        <v>Jan</v>
      </c>
      <c r="D47" s="1" t="str">
        <f>VLOOKUP(B47,'[1]Tabla Clientes'!$A:$G,3,0)</f>
        <v>Garcia</v>
      </c>
      <c r="E47" s="1" t="s">
        <v>5</v>
      </c>
      <c r="F47" s="1" t="s">
        <v>12</v>
      </c>
      <c r="G47" s="1" t="s">
        <v>35</v>
      </c>
      <c r="H47" s="1" t="s">
        <v>218</v>
      </c>
      <c r="I47" s="1" t="s">
        <v>153</v>
      </c>
      <c r="J47" s="1" t="s">
        <v>35</v>
      </c>
      <c r="K47" s="1">
        <v>1</v>
      </c>
      <c r="L47" s="5">
        <v>45820</v>
      </c>
      <c r="M47" s="5">
        <v>45820</v>
      </c>
      <c r="N47" s="1">
        <v>2025</v>
      </c>
      <c r="O47" s="1" t="s">
        <v>25</v>
      </c>
      <c r="P47" s="1">
        <v>1</v>
      </c>
      <c r="Q47" s="1" t="s">
        <v>75</v>
      </c>
      <c r="R47" s="1" t="s">
        <v>97</v>
      </c>
      <c r="S47" s="1" t="s">
        <v>35</v>
      </c>
    </row>
    <row r="48" spans="1:19" x14ac:dyDescent="0.25">
      <c r="A48" s="1" t="s">
        <v>195</v>
      </c>
      <c r="B48" s="9" t="s">
        <v>17</v>
      </c>
      <c r="C48" s="1" t="str">
        <f>VLOOKUP(B48,'[1]Tabla Clientes'!$A:$G,2,0)</f>
        <v>Jan</v>
      </c>
      <c r="D48" s="1" t="str">
        <f>VLOOKUP(B48,'[1]Tabla Clientes'!$A:$G,3,0)</f>
        <v>Garcia</v>
      </c>
      <c r="E48" s="1" t="s">
        <v>5</v>
      </c>
      <c r="F48" s="1" t="s">
        <v>12</v>
      </c>
      <c r="G48" s="1" t="s">
        <v>35</v>
      </c>
      <c r="H48" s="1" t="s">
        <v>217</v>
      </c>
      <c r="I48" s="1" t="s">
        <v>153</v>
      </c>
      <c r="J48" s="1" t="s">
        <v>35</v>
      </c>
      <c r="K48" s="1">
        <v>1</v>
      </c>
      <c r="L48" s="5">
        <v>45814</v>
      </c>
      <c r="M48" s="5">
        <v>45814</v>
      </c>
      <c r="N48" s="1">
        <v>2025</v>
      </c>
      <c r="O48" s="1" t="s">
        <v>25</v>
      </c>
      <c r="P48" s="1">
        <v>1</v>
      </c>
      <c r="Q48" s="1" t="s">
        <v>75</v>
      </c>
      <c r="R48" s="1" t="s">
        <v>97</v>
      </c>
      <c r="S48" s="1" t="s">
        <v>35</v>
      </c>
    </row>
    <row r="49" spans="1:19" x14ac:dyDescent="0.25">
      <c r="A49" s="1" t="s">
        <v>193</v>
      </c>
      <c r="B49" s="9" t="s">
        <v>215</v>
      </c>
      <c r="C49" s="1" t="str">
        <f>VLOOKUP(B49,'[1]Tabla Clientes'!$A:$G,2,0)</f>
        <v>Miguel</v>
      </c>
      <c r="D49" s="1" t="str">
        <f>VLOOKUP(B49,'[1]Tabla Clientes'!$A:$G,3,0)</f>
        <v>Kamara</v>
      </c>
      <c r="E49" s="1" t="s">
        <v>36</v>
      </c>
      <c r="F49" s="1" t="s">
        <v>32</v>
      </c>
      <c r="G49" s="1" t="s">
        <v>35</v>
      </c>
      <c r="H49" s="1" t="s">
        <v>216</v>
      </c>
      <c r="I49" s="1" t="s">
        <v>153</v>
      </c>
      <c r="J49" s="1" t="s">
        <v>35</v>
      </c>
      <c r="K49" s="1">
        <v>1</v>
      </c>
      <c r="L49" s="5">
        <v>45795</v>
      </c>
      <c r="M49" s="5">
        <v>45795</v>
      </c>
      <c r="N49" s="1">
        <v>2025</v>
      </c>
      <c r="O49" s="1" t="s">
        <v>24</v>
      </c>
      <c r="P49" s="1">
        <v>1</v>
      </c>
      <c r="Q49" s="1" t="s">
        <v>74</v>
      </c>
      <c r="R49" s="1" t="s">
        <v>77</v>
      </c>
      <c r="S49" s="1" t="s">
        <v>35</v>
      </c>
    </row>
    <row r="50" spans="1:19" x14ac:dyDescent="0.25">
      <c r="A50" s="1" t="s">
        <v>230</v>
      </c>
      <c r="B50" s="9" t="s">
        <v>213</v>
      </c>
      <c r="C50" s="1" t="str">
        <f>VLOOKUP(B50,'[1]Tabla Clientes'!$A:$G,2,0)</f>
        <v xml:space="preserve">Paola </v>
      </c>
      <c r="D50" s="1" t="str">
        <f>VLOOKUP(B50,'[1]Tabla Clientes'!$A:$G,3,0)</f>
        <v>Alomia</v>
      </c>
      <c r="E50" s="1" t="s">
        <v>36</v>
      </c>
      <c r="F50" s="1" t="s">
        <v>32</v>
      </c>
      <c r="G50" s="1" t="s">
        <v>35</v>
      </c>
      <c r="H50" s="1" t="s">
        <v>214</v>
      </c>
      <c r="I50" s="1" t="s">
        <v>153</v>
      </c>
      <c r="J50" s="1" t="s">
        <v>35</v>
      </c>
      <c r="K50" s="1">
        <v>3</v>
      </c>
      <c r="L50" s="5">
        <v>45791</v>
      </c>
      <c r="M50" s="5">
        <v>45790</v>
      </c>
      <c r="N50" s="1">
        <v>2025</v>
      </c>
      <c r="O50" s="1" t="s">
        <v>24</v>
      </c>
      <c r="P50" s="1">
        <v>1</v>
      </c>
      <c r="Q50" s="1" t="s">
        <v>74</v>
      </c>
      <c r="R50" s="1" t="s">
        <v>77</v>
      </c>
      <c r="S50" s="1" t="s">
        <v>46</v>
      </c>
    </row>
    <row r="51" spans="1:19" x14ac:dyDescent="0.25">
      <c r="A51" s="1" t="s">
        <v>190</v>
      </c>
      <c r="B51" s="9">
        <v>207</v>
      </c>
      <c r="C51" s="1" t="str">
        <f>VLOOKUP(B51,'[1]Tabla Clientes'!$A:$G,2,0)</f>
        <v>Habrahm</v>
      </c>
      <c r="D51" s="1" t="str">
        <f>VLOOKUP(B51,'[1]Tabla Clientes'!$A:$G,3,0)</f>
        <v>Tapia</v>
      </c>
      <c r="E51" s="1" t="s">
        <v>36</v>
      </c>
      <c r="F51" s="1" t="s">
        <v>32</v>
      </c>
      <c r="G51" s="1" t="s">
        <v>35</v>
      </c>
      <c r="H51" s="1" t="s">
        <v>212</v>
      </c>
      <c r="I51" s="1" t="s">
        <v>153</v>
      </c>
      <c r="J51" s="1" t="s">
        <v>35</v>
      </c>
      <c r="K51" s="1">
        <v>1</v>
      </c>
      <c r="L51" s="5">
        <v>45774</v>
      </c>
      <c r="M51" s="5">
        <v>45766</v>
      </c>
      <c r="N51" s="1">
        <v>2025</v>
      </c>
      <c r="O51" s="1" t="s">
        <v>23</v>
      </c>
      <c r="P51" s="1">
        <v>1</v>
      </c>
      <c r="Q51" s="1" t="s">
        <v>75</v>
      </c>
      <c r="R51" s="1" t="s">
        <v>77</v>
      </c>
      <c r="S51" s="1" t="s">
        <v>35</v>
      </c>
    </row>
    <row r="52" spans="1:19" x14ac:dyDescent="0.25">
      <c r="A52" s="1" t="s">
        <v>183</v>
      </c>
      <c r="B52" s="9" t="s">
        <v>317</v>
      </c>
      <c r="C52" s="1" t="str">
        <f>VLOOKUP(B52,'[1]Tabla Clientes'!$A:$G,2,0)</f>
        <v xml:space="preserve">Ivan </v>
      </c>
      <c r="D52" s="1" t="str">
        <f>VLOOKUP(B52,'[1]Tabla Clientes'!$A:$G,3,0)</f>
        <v>Brijaldo</v>
      </c>
      <c r="E52" s="1" t="s">
        <v>5</v>
      </c>
      <c r="F52" s="1" t="s">
        <v>12</v>
      </c>
      <c r="G52" s="1" t="s">
        <v>35</v>
      </c>
      <c r="H52" s="1" t="s">
        <v>211</v>
      </c>
      <c r="I52" s="1" t="s">
        <v>153</v>
      </c>
      <c r="J52" s="1" t="s">
        <v>35</v>
      </c>
      <c r="K52" s="1">
        <v>1</v>
      </c>
      <c r="L52" s="5">
        <v>45774</v>
      </c>
      <c r="M52" s="5">
        <v>45761</v>
      </c>
      <c r="N52" s="1">
        <v>2025</v>
      </c>
      <c r="O52" s="1" t="s">
        <v>23</v>
      </c>
      <c r="P52" s="1">
        <v>1</v>
      </c>
      <c r="Q52" s="1" t="s">
        <v>75</v>
      </c>
      <c r="R52" s="1" t="s">
        <v>77</v>
      </c>
      <c r="S52" s="1" t="s">
        <v>35</v>
      </c>
    </row>
    <row r="53" spans="1:19" x14ac:dyDescent="0.25">
      <c r="A53" s="1" t="s">
        <v>181</v>
      </c>
      <c r="B53" s="9" t="s">
        <v>173</v>
      </c>
      <c r="C53" s="1" t="str">
        <f>VLOOKUP(B53,'[1]Tabla Clientes'!$A:$G,2,0)</f>
        <v xml:space="preserve">Cesar </v>
      </c>
      <c r="D53" s="1" t="str">
        <f>VLOOKUP(B53,'[1]Tabla Clientes'!$A:$G,3,0)</f>
        <v>Luna</v>
      </c>
      <c r="E53" s="1" t="s">
        <v>36</v>
      </c>
      <c r="F53" s="1" t="s">
        <v>32</v>
      </c>
      <c r="G53" s="1" t="s">
        <v>35</v>
      </c>
      <c r="H53" s="1" t="s">
        <v>210</v>
      </c>
      <c r="I53" s="1" t="s">
        <v>153</v>
      </c>
      <c r="J53" s="1" t="s">
        <v>35</v>
      </c>
      <c r="K53" s="1">
        <v>1</v>
      </c>
      <c r="L53" s="5">
        <v>45771</v>
      </c>
      <c r="M53" s="5">
        <v>45755</v>
      </c>
      <c r="N53" s="1">
        <v>2025</v>
      </c>
      <c r="O53" s="1" t="s">
        <v>23</v>
      </c>
      <c r="P53" s="1">
        <v>1</v>
      </c>
      <c r="Q53" s="1" t="s">
        <v>74</v>
      </c>
      <c r="R53" s="1" t="s">
        <v>77</v>
      </c>
      <c r="S53" s="1" t="s">
        <v>35</v>
      </c>
    </row>
    <row r="54" spans="1:19" x14ac:dyDescent="0.25">
      <c r="A54" s="1" t="s">
        <v>176</v>
      </c>
      <c r="B54" s="9" t="s">
        <v>199</v>
      </c>
      <c r="C54" s="1" t="str">
        <f>VLOOKUP(B54,'[1]Tabla Clientes'!$A:$G,2,0)</f>
        <v>Lucia</v>
      </c>
      <c r="D54" s="1" t="str">
        <f>VLOOKUP(B54,'[1]Tabla Clientes'!$A:$G,3,0)</f>
        <v>Garcia</v>
      </c>
      <c r="E54" s="1" t="s">
        <v>4</v>
      </c>
      <c r="F54" s="1" t="s">
        <v>11</v>
      </c>
      <c r="G54" s="1" t="s">
        <v>35</v>
      </c>
      <c r="H54" s="1" t="s">
        <v>207</v>
      </c>
      <c r="I54" s="1" t="s">
        <v>153</v>
      </c>
      <c r="J54" s="1" t="s">
        <v>35</v>
      </c>
      <c r="K54" s="1">
        <v>3</v>
      </c>
      <c r="L54" s="5">
        <v>45729.316423611112</v>
      </c>
      <c r="M54" s="5">
        <v>45729.316423611112</v>
      </c>
      <c r="N54" s="1">
        <v>2025</v>
      </c>
      <c r="O54" s="1" t="s">
        <v>22</v>
      </c>
      <c r="P54" s="1">
        <v>1</v>
      </c>
      <c r="Q54" s="1" t="s">
        <v>74</v>
      </c>
      <c r="R54" s="1" t="s">
        <v>77</v>
      </c>
      <c r="S54" s="1" t="s">
        <v>46</v>
      </c>
    </row>
    <row r="55" spans="1:19" x14ac:dyDescent="0.25">
      <c r="A55" s="1" t="s">
        <v>231</v>
      </c>
      <c r="B55" s="9" t="s">
        <v>208</v>
      </c>
      <c r="C55" s="1" t="str">
        <f>VLOOKUP(B55,'[1]Tabla Clientes'!$A:$G,2,0)</f>
        <v>Hernan</v>
      </c>
      <c r="D55" s="1" t="str">
        <f>VLOOKUP(B55,'[1]Tabla Clientes'!$A:$G,3,0)</f>
        <v>Coronado</v>
      </c>
      <c r="E55" s="1" t="s">
        <v>5</v>
      </c>
      <c r="F55" s="1" t="s">
        <v>12</v>
      </c>
      <c r="G55" s="1" t="s">
        <v>35</v>
      </c>
      <c r="H55" s="1" t="s">
        <v>209</v>
      </c>
      <c r="I55" s="1" t="s">
        <v>153</v>
      </c>
      <c r="J55" s="1" t="s">
        <v>35</v>
      </c>
      <c r="K55" s="1">
        <v>1</v>
      </c>
      <c r="L55" s="5">
        <v>45721</v>
      </c>
      <c r="M55" s="5">
        <v>45733.316423611112</v>
      </c>
      <c r="N55" s="1">
        <v>2025</v>
      </c>
      <c r="O55" s="1" t="s">
        <v>22</v>
      </c>
      <c r="P55" s="1">
        <v>1</v>
      </c>
      <c r="Q55" s="1" t="s">
        <v>74</v>
      </c>
      <c r="R55" s="1" t="s">
        <v>77</v>
      </c>
      <c r="S55" s="1" t="s">
        <v>35</v>
      </c>
    </row>
    <row r="56" spans="1:19" x14ac:dyDescent="0.25">
      <c r="A56" s="1" t="s">
        <v>232</v>
      </c>
      <c r="B56" s="9" t="s">
        <v>205</v>
      </c>
      <c r="C56" s="1" t="str">
        <f>VLOOKUP(B56,'[1]Tabla Clientes'!$A:$G,2,0)</f>
        <v xml:space="preserve">Ricardo </v>
      </c>
      <c r="D56" s="1" t="str">
        <f>VLOOKUP(B56,'[1]Tabla Clientes'!$A:$G,3,0)</f>
        <v>Peña</v>
      </c>
      <c r="E56" s="1" t="s">
        <v>4</v>
      </c>
      <c r="F56" s="1" t="s">
        <v>11</v>
      </c>
      <c r="G56" s="1" t="s">
        <v>35</v>
      </c>
      <c r="H56" s="1" t="s">
        <v>206</v>
      </c>
      <c r="I56" s="1" t="s">
        <v>153</v>
      </c>
      <c r="J56" s="1" t="s">
        <v>35</v>
      </c>
      <c r="K56" s="1">
        <v>1</v>
      </c>
      <c r="L56" s="5">
        <v>45711</v>
      </c>
      <c r="M56" s="5">
        <v>45724</v>
      </c>
      <c r="N56" s="1">
        <v>2025</v>
      </c>
      <c r="O56" s="1" t="s">
        <v>22</v>
      </c>
      <c r="P56" s="1">
        <v>1</v>
      </c>
      <c r="Q56" s="1" t="s">
        <v>74</v>
      </c>
      <c r="R56" s="1" t="s">
        <v>77</v>
      </c>
      <c r="S56" s="1" t="s">
        <v>35</v>
      </c>
    </row>
    <row r="57" spans="1:19" x14ac:dyDescent="0.25">
      <c r="A57" s="1" t="s">
        <v>175</v>
      </c>
      <c r="B57" s="9" t="s">
        <v>202</v>
      </c>
      <c r="C57" s="1" t="str">
        <f>VLOOKUP(B57,'[1]Tabla Clientes'!$A:$G,2,0)</f>
        <v xml:space="preserve">Juan </v>
      </c>
      <c r="D57" s="1" t="str">
        <f>VLOOKUP(B57,'[1]Tabla Clientes'!$A:$G,3,0)</f>
        <v>Zarama</v>
      </c>
      <c r="E57" s="1" t="s">
        <v>36</v>
      </c>
      <c r="F57" s="1" t="s">
        <v>32</v>
      </c>
      <c r="G57" s="1" t="s">
        <v>35</v>
      </c>
      <c r="H57" s="1" t="s">
        <v>203</v>
      </c>
      <c r="I57" s="1" t="s">
        <v>153</v>
      </c>
      <c r="J57" s="1" t="s">
        <v>35</v>
      </c>
      <c r="K57" s="1">
        <v>1</v>
      </c>
      <c r="L57" s="5">
        <v>45696</v>
      </c>
      <c r="M57" s="5">
        <v>45713</v>
      </c>
      <c r="N57" s="1">
        <v>2025</v>
      </c>
      <c r="O57" s="1" t="s">
        <v>21</v>
      </c>
      <c r="P57" s="1">
        <v>1</v>
      </c>
      <c r="Q57" s="1" t="s">
        <v>74</v>
      </c>
      <c r="R57" s="1" t="s">
        <v>77</v>
      </c>
      <c r="S57" s="1" t="s">
        <v>35</v>
      </c>
    </row>
    <row r="58" spans="1:19" x14ac:dyDescent="0.25">
      <c r="A58" s="1" t="s">
        <v>174</v>
      </c>
      <c r="B58" s="9" t="s">
        <v>199</v>
      </c>
      <c r="C58" s="1" t="str">
        <f>VLOOKUP(B58,'[1]Tabla Clientes'!$A:$G,2,0)</f>
        <v>Lucia</v>
      </c>
      <c r="D58" s="1" t="str">
        <f>VLOOKUP(B58,'[1]Tabla Clientes'!$A:$G,3,0)</f>
        <v>Garcia</v>
      </c>
      <c r="E58" s="1" t="s">
        <v>187</v>
      </c>
      <c r="F58" s="1" t="s">
        <v>188</v>
      </c>
      <c r="G58" s="1" t="s">
        <v>35</v>
      </c>
      <c r="H58" s="1" t="s">
        <v>200</v>
      </c>
      <c r="I58" s="1" t="s">
        <v>153</v>
      </c>
      <c r="J58" s="1" t="s">
        <v>35</v>
      </c>
      <c r="K58" s="1">
        <v>1</v>
      </c>
      <c r="L58" s="5">
        <v>45694</v>
      </c>
      <c r="M58" s="5">
        <v>45694</v>
      </c>
      <c r="N58" s="1">
        <v>2025</v>
      </c>
      <c r="O58" s="1" t="s">
        <v>21</v>
      </c>
      <c r="P58" s="1">
        <v>1</v>
      </c>
      <c r="Q58" s="1" t="s">
        <v>74</v>
      </c>
      <c r="R58" s="1" t="s">
        <v>77</v>
      </c>
      <c r="S58" s="1" t="s">
        <v>35</v>
      </c>
    </row>
    <row r="59" spans="1:19" x14ac:dyDescent="0.25">
      <c r="A59" s="1" t="s">
        <v>170</v>
      </c>
      <c r="B59" s="9" t="s">
        <v>196</v>
      </c>
      <c r="C59" s="1" t="str">
        <f>VLOOKUP(B59,'[1]Tabla Clientes'!$A:$G,2,0)</f>
        <v>David</v>
      </c>
      <c r="D59" s="1" t="str">
        <f>VLOOKUP(B59,'[1]Tabla Clientes'!$A:$G,3,0)</f>
        <v>Jefe</v>
      </c>
      <c r="E59" s="1" t="s">
        <v>36</v>
      </c>
      <c r="F59" s="1" t="s">
        <v>32</v>
      </c>
      <c r="G59" s="1" t="s">
        <v>35</v>
      </c>
      <c r="H59" s="1" t="s">
        <v>197</v>
      </c>
      <c r="I59" s="1" t="s">
        <v>153</v>
      </c>
      <c r="J59" s="1" t="s">
        <v>35</v>
      </c>
      <c r="K59" s="1">
        <v>1</v>
      </c>
      <c r="L59" s="5">
        <v>45683</v>
      </c>
      <c r="M59" s="5">
        <v>45685</v>
      </c>
      <c r="N59" s="1">
        <v>2025</v>
      </c>
      <c r="O59" s="1" t="s">
        <v>16</v>
      </c>
      <c r="P59" s="1">
        <v>1</v>
      </c>
      <c r="Q59" s="1" t="s">
        <v>74</v>
      </c>
      <c r="R59" s="1" t="s">
        <v>77</v>
      </c>
      <c r="S59" s="1" t="s">
        <v>35</v>
      </c>
    </row>
    <row r="60" spans="1:19" x14ac:dyDescent="0.25">
      <c r="A60" s="1" t="s">
        <v>166</v>
      </c>
      <c r="B60" s="9" t="s">
        <v>17</v>
      </c>
      <c r="C60" s="1" t="str">
        <f>VLOOKUP(B60,'[1]Tabla Clientes'!$A:$G,2,0)</f>
        <v>Jan</v>
      </c>
      <c r="D60" s="1" t="str">
        <f>VLOOKUP(B60,'[1]Tabla Clientes'!$A:$G,3,0)</f>
        <v>Garcia</v>
      </c>
      <c r="E60" s="1" t="s">
        <v>36</v>
      </c>
      <c r="F60" s="1" t="s">
        <v>32</v>
      </c>
      <c r="G60" s="1" t="s">
        <v>35</v>
      </c>
      <c r="H60" s="1" t="s">
        <v>54</v>
      </c>
      <c r="I60" s="1" t="s">
        <v>153</v>
      </c>
      <c r="J60" s="1" t="s">
        <v>35</v>
      </c>
      <c r="K60" s="1">
        <v>1</v>
      </c>
      <c r="L60" s="5">
        <v>45677</v>
      </c>
      <c r="M60" s="5">
        <v>45678</v>
      </c>
      <c r="N60" s="1">
        <v>2025</v>
      </c>
      <c r="O60" s="1" t="s">
        <v>16</v>
      </c>
      <c r="P60" s="1">
        <v>1</v>
      </c>
      <c r="Q60" s="1" t="s">
        <v>75</v>
      </c>
      <c r="R60" s="1" t="s">
        <v>97</v>
      </c>
      <c r="S60" s="1" t="s">
        <v>35</v>
      </c>
    </row>
    <row r="61" spans="1:19" x14ac:dyDescent="0.25">
      <c r="A61" s="1" t="s">
        <v>163</v>
      </c>
      <c r="B61" s="9" t="s">
        <v>192</v>
      </c>
      <c r="C61" s="1" t="str">
        <f>VLOOKUP(B61,'[1]Tabla Clientes'!$A:$G,2,0)</f>
        <v>Antonio</v>
      </c>
      <c r="D61" s="1" t="str">
        <f>VLOOKUP(B61,'[1]Tabla Clientes'!$A:$G,3,0)</f>
        <v>Ramirez</v>
      </c>
      <c r="E61" s="1" t="s">
        <v>36</v>
      </c>
      <c r="F61" s="1" t="s">
        <v>32</v>
      </c>
      <c r="G61" s="1" t="s">
        <v>35</v>
      </c>
      <c r="H61" s="1" t="s">
        <v>194</v>
      </c>
      <c r="I61" s="1" t="s">
        <v>153</v>
      </c>
      <c r="J61" s="1" t="s">
        <v>35</v>
      </c>
      <c r="K61" s="1">
        <v>1</v>
      </c>
      <c r="L61" s="5">
        <v>45672</v>
      </c>
      <c r="M61" s="5">
        <v>45656</v>
      </c>
      <c r="N61" s="1">
        <v>2025</v>
      </c>
      <c r="O61" s="1" t="s">
        <v>16</v>
      </c>
      <c r="P61" s="1">
        <v>1</v>
      </c>
      <c r="Q61" s="1" t="s">
        <v>74</v>
      </c>
      <c r="R61" s="1" t="s">
        <v>77</v>
      </c>
      <c r="S61" s="1" t="s">
        <v>35</v>
      </c>
    </row>
    <row r="62" spans="1:19" x14ac:dyDescent="0.25">
      <c r="A62" s="1" t="s">
        <v>233</v>
      </c>
      <c r="B62" s="9" t="s">
        <v>186</v>
      </c>
      <c r="C62" s="1" t="str">
        <f>VLOOKUP(B62,'[1]Tabla Clientes'!$A:$G,2,0)</f>
        <v xml:space="preserve">Javier </v>
      </c>
      <c r="D62" s="1" t="str">
        <f>VLOOKUP(B62,'[1]Tabla Clientes'!$A:$G,3,0)</f>
        <v>Diaz</v>
      </c>
      <c r="E62" s="1" t="s">
        <v>187</v>
      </c>
      <c r="F62" s="1" t="s">
        <v>188</v>
      </c>
      <c r="G62" s="1" t="s">
        <v>35</v>
      </c>
      <c r="H62" s="1" t="s">
        <v>189</v>
      </c>
      <c r="I62" s="1" t="s">
        <v>153</v>
      </c>
      <c r="J62" s="1" t="s">
        <v>35</v>
      </c>
      <c r="K62" s="1">
        <v>1</v>
      </c>
      <c r="L62" s="5">
        <v>45668</v>
      </c>
      <c r="M62" s="5">
        <v>45668</v>
      </c>
      <c r="N62" s="1">
        <v>2025</v>
      </c>
      <c r="O62" s="1" t="s">
        <v>16</v>
      </c>
      <c r="P62" s="1">
        <v>1</v>
      </c>
      <c r="Q62" s="1" t="s">
        <v>75</v>
      </c>
      <c r="R62" s="1" t="s">
        <v>77</v>
      </c>
      <c r="S62" s="1" t="s">
        <v>35</v>
      </c>
    </row>
    <row r="63" spans="1:19" x14ac:dyDescent="0.25">
      <c r="A63" s="1" t="s">
        <v>162</v>
      </c>
      <c r="B63" s="9" t="s">
        <v>186</v>
      </c>
      <c r="C63" s="1" t="str">
        <f>VLOOKUP(B63,'[1]Tabla Clientes'!$A:$G,2,0)</f>
        <v xml:space="preserve">Javier </v>
      </c>
      <c r="D63" s="1" t="str">
        <f>VLOOKUP(B63,'[1]Tabla Clientes'!$A:$G,3,0)</f>
        <v>Diaz</v>
      </c>
      <c r="E63" s="1" t="s">
        <v>4</v>
      </c>
      <c r="F63" s="1" t="s">
        <v>11</v>
      </c>
      <c r="G63" s="1" t="s">
        <v>35</v>
      </c>
      <c r="H63" s="1" t="s">
        <v>191</v>
      </c>
      <c r="I63" s="1" t="s">
        <v>153</v>
      </c>
      <c r="J63" s="1" t="s">
        <v>35</v>
      </c>
      <c r="K63" s="1">
        <v>1</v>
      </c>
      <c r="L63" s="5">
        <v>45668</v>
      </c>
      <c r="M63" s="5">
        <v>45668</v>
      </c>
      <c r="N63" s="1">
        <v>2025</v>
      </c>
      <c r="O63" s="1" t="s">
        <v>16</v>
      </c>
      <c r="P63" s="1">
        <v>1</v>
      </c>
      <c r="Q63" s="1" t="s">
        <v>75</v>
      </c>
      <c r="R63" s="1" t="s">
        <v>77</v>
      </c>
      <c r="S63" s="1" t="s">
        <v>35</v>
      </c>
    </row>
    <row r="64" spans="1:19" x14ac:dyDescent="0.25">
      <c r="A64" s="1" t="s">
        <v>234</v>
      </c>
      <c r="B64" s="9" t="s">
        <v>184</v>
      </c>
      <c r="C64" s="1" t="str">
        <f>VLOOKUP(B64,'[1]Tabla Clientes'!$A:$G,2,0)</f>
        <v>Catalina</v>
      </c>
      <c r="D64" s="1" t="str">
        <f>VLOOKUP(B64,'[1]Tabla Clientes'!$A:$G,3,0)</f>
        <v>Gutierrez</v>
      </c>
      <c r="E64" s="1" t="s">
        <v>36</v>
      </c>
      <c r="F64" s="1" t="s">
        <v>32</v>
      </c>
      <c r="G64" s="1" t="s">
        <v>35</v>
      </c>
      <c r="H64" s="1" t="s">
        <v>185</v>
      </c>
      <c r="I64" s="1" t="s">
        <v>153</v>
      </c>
      <c r="J64" s="1" t="s">
        <v>35</v>
      </c>
      <c r="K64" s="1">
        <v>1</v>
      </c>
      <c r="L64" s="5">
        <v>45657</v>
      </c>
      <c r="M64" s="5">
        <v>45657</v>
      </c>
      <c r="N64" s="1">
        <v>2024</v>
      </c>
      <c r="O64" s="1" t="s">
        <v>85</v>
      </c>
      <c r="P64" s="1">
        <v>1</v>
      </c>
      <c r="Q64" s="1" t="s">
        <v>74</v>
      </c>
      <c r="R64" s="1" t="s">
        <v>77</v>
      </c>
      <c r="S64" s="1" t="s">
        <v>35</v>
      </c>
    </row>
    <row r="65" spans="1:19" x14ac:dyDescent="0.25">
      <c r="A65" s="1" t="s">
        <v>159</v>
      </c>
      <c r="B65" s="9" t="s">
        <v>90</v>
      </c>
      <c r="C65" s="1" t="str">
        <f>VLOOKUP(B65,'[1]Tabla Clientes'!$A:$G,2,0)</f>
        <v>Rodrigo</v>
      </c>
      <c r="D65" s="1" t="str">
        <f>VLOOKUP(B65,'[1]Tabla Clientes'!$A:$G,3,0)</f>
        <v>Ruiz</v>
      </c>
      <c r="E65" s="1" t="s">
        <v>4</v>
      </c>
      <c r="F65" s="1" t="s">
        <v>11</v>
      </c>
      <c r="G65" s="1" t="s">
        <v>35</v>
      </c>
      <c r="H65" s="1" t="s">
        <v>182</v>
      </c>
      <c r="I65" s="1" t="s">
        <v>153</v>
      </c>
      <c r="J65" s="1" t="s">
        <v>35</v>
      </c>
      <c r="K65" s="1">
        <v>1</v>
      </c>
      <c r="L65" s="5">
        <v>45654</v>
      </c>
      <c r="M65" s="5">
        <v>45665</v>
      </c>
      <c r="N65" s="1">
        <v>2025</v>
      </c>
      <c r="O65" s="1" t="s">
        <v>16</v>
      </c>
      <c r="P65" s="1">
        <v>1</v>
      </c>
      <c r="Q65" s="1" t="s">
        <v>73</v>
      </c>
      <c r="R65" s="1" t="s">
        <v>77</v>
      </c>
      <c r="S65" s="1" t="s">
        <v>35</v>
      </c>
    </row>
    <row r="66" spans="1:19" x14ac:dyDescent="0.25">
      <c r="A66" s="1" t="s">
        <v>156</v>
      </c>
      <c r="B66" s="9" t="s">
        <v>177</v>
      </c>
      <c r="C66" s="1" t="str">
        <f>VLOOKUP(B66,'[1]Tabla Clientes'!$A:$G,2,0)</f>
        <v>Luz Sandra</v>
      </c>
      <c r="D66" s="1" t="str">
        <f>VLOOKUP(B66,'[1]Tabla Clientes'!$A:$G,3,0)</f>
        <v>Quintero</v>
      </c>
      <c r="E66" s="1" t="s">
        <v>4</v>
      </c>
      <c r="F66" s="1" t="s">
        <v>11</v>
      </c>
      <c r="G66" s="1" t="s">
        <v>35</v>
      </c>
      <c r="H66" s="1" t="s">
        <v>178</v>
      </c>
      <c r="I66" s="1" t="s">
        <v>153</v>
      </c>
      <c r="J66" s="1" t="s">
        <v>35</v>
      </c>
      <c r="K66" s="1">
        <v>1</v>
      </c>
      <c r="L66" s="5">
        <v>45653</v>
      </c>
      <c r="M66" s="5">
        <v>45657</v>
      </c>
      <c r="N66" s="1">
        <v>2024</v>
      </c>
      <c r="O66" s="1" t="s">
        <v>85</v>
      </c>
      <c r="P66" s="1">
        <v>1</v>
      </c>
      <c r="Q66" s="1" t="s">
        <v>75</v>
      </c>
      <c r="R66" s="1" t="s">
        <v>77</v>
      </c>
      <c r="S66" s="1" t="s">
        <v>35</v>
      </c>
    </row>
    <row r="67" spans="1:19" x14ac:dyDescent="0.25">
      <c r="A67" s="1" t="s">
        <v>235</v>
      </c>
      <c r="B67" s="9" t="s">
        <v>179</v>
      </c>
      <c r="C67" s="1" t="str">
        <f>VLOOKUP(B67,'[1]Tabla Clientes'!$A:$G,2,0)</f>
        <v>Rosemary</v>
      </c>
      <c r="D67" s="1" t="str">
        <f>VLOOKUP(B67,'[1]Tabla Clientes'!$A:$G,3,0)</f>
        <v>Uribe</v>
      </c>
      <c r="E67" s="1" t="s">
        <v>4</v>
      </c>
      <c r="F67" s="1" t="s">
        <v>11</v>
      </c>
      <c r="G67" s="1" t="s">
        <v>35</v>
      </c>
      <c r="H67" s="1" t="s">
        <v>180</v>
      </c>
      <c r="I67" s="1" t="s">
        <v>153</v>
      </c>
      <c r="J67" s="1" t="s">
        <v>35</v>
      </c>
      <c r="K67" s="1">
        <v>1</v>
      </c>
      <c r="L67" s="5">
        <v>45653</v>
      </c>
      <c r="M67" s="5">
        <v>45657</v>
      </c>
      <c r="N67" s="1">
        <v>2024</v>
      </c>
      <c r="O67" s="1" t="s">
        <v>85</v>
      </c>
      <c r="P67" s="1">
        <v>1</v>
      </c>
      <c r="Q67" s="1" t="s">
        <v>75</v>
      </c>
      <c r="R67" s="1" t="s">
        <v>77</v>
      </c>
      <c r="S67" s="1" t="s">
        <v>35</v>
      </c>
    </row>
    <row r="68" spans="1:19" x14ac:dyDescent="0.25">
      <c r="A68" s="1" t="s">
        <v>236</v>
      </c>
      <c r="B68" s="9" t="s">
        <v>171</v>
      </c>
      <c r="C68" s="1" t="str">
        <f>VLOOKUP(B68,'[1]Tabla Clientes'!$A:$G,2,0)</f>
        <v>Daniela</v>
      </c>
      <c r="D68" s="1" t="str">
        <f>VLOOKUP(B68,'[1]Tabla Clientes'!$A:$G,3,0)</f>
        <v>Cifuentes</v>
      </c>
      <c r="E68" s="1" t="s">
        <v>4</v>
      </c>
      <c r="F68" s="1" t="s">
        <v>11</v>
      </c>
      <c r="G68" s="1" t="s">
        <v>35</v>
      </c>
      <c r="H68" s="1" t="s">
        <v>172</v>
      </c>
      <c r="I68" s="1" t="s">
        <v>153</v>
      </c>
      <c r="J68" s="1" t="s">
        <v>35</v>
      </c>
      <c r="K68" s="1">
        <v>1</v>
      </c>
      <c r="L68" s="5">
        <v>45619</v>
      </c>
      <c r="M68" s="5">
        <v>45619</v>
      </c>
      <c r="N68" s="1">
        <v>2024</v>
      </c>
      <c r="O68" s="1" t="s">
        <v>86</v>
      </c>
      <c r="P68" s="1">
        <v>1</v>
      </c>
      <c r="Q68" s="1" t="s">
        <v>75</v>
      </c>
      <c r="R68" s="1" t="s">
        <v>97</v>
      </c>
      <c r="S68" s="1" t="s">
        <v>35</v>
      </c>
    </row>
    <row r="69" spans="1:19" x14ac:dyDescent="0.25">
      <c r="A69" s="1" t="s">
        <v>151</v>
      </c>
      <c r="B69" s="9" t="s">
        <v>167</v>
      </c>
      <c r="C69" s="1" t="str">
        <f>VLOOKUP(B69,'[1]Tabla Clientes'!$A:$G,2,0)</f>
        <v xml:space="preserve">Oscar </v>
      </c>
      <c r="D69" s="1" t="str">
        <f>VLOOKUP(B69,'[1]Tabla Clientes'!$A:$G,3,0)</f>
        <v>Escobar</v>
      </c>
      <c r="E69" s="1" t="s">
        <v>5</v>
      </c>
      <c r="F69" s="1" t="s">
        <v>12</v>
      </c>
      <c r="G69" s="1" t="s">
        <v>35</v>
      </c>
      <c r="H69" s="1" t="s">
        <v>168</v>
      </c>
      <c r="I69" s="1" t="s">
        <v>153</v>
      </c>
      <c r="J69" s="1" t="s">
        <v>35</v>
      </c>
      <c r="K69" s="1">
        <v>1</v>
      </c>
      <c r="L69" s="5">
        <v>45611</v>
      </c>
      <c r="M69" s="5">
        <v>45611</v>
      </c>
      <c r="N69" s="1">
        <v>2024</v>
      </c>
      <c r="O69" s="1" t="s">
        <v>86</v>
      </c>
      <c r="P69" s="1">
        <v>1</v>
      </c>
      <c r="Q69" s="1" t="s">
        <v>75</v>
      </c>
      <c r="R69" s="1" t="s">
        <v>77</v>
      </c>
      <c r="S69" s="1" t="s">
        <v>35</v>
      </c>
    </row>
    <row r="70" spans="1:19" x14ac:dyDescent="0.25">
      <c r="A70" s="1" t="s">
        <v>148</v>
      </c>
      <c r="B70" s="9" t="s">
        <v>164</v>
      </c>
      <c r="C70" s="1" t="str">
        <f>VLOOKUP(B70,'[1]Tabla Clientes'!$A:$G,2,0)</f>
        <v xml:space="preserve">Diego </v>
      </c>
      <c r="D70" s="1" t="str">
        <f>VLOOKUP(B70,'[1]Tabla Clientes'!$A:$G,3,0)</f>
        <v>Urriago</v>
      </c>
      <c r="E70" s="1" t="s">
        <v>4</v>
      </c>
      <c r="F70" s="1" t="s">
        <v>11</v>
      </c>
      <c r="G70" s="1" t="s">
        <v>35</v>
      </c>
      <c r="H70" s="1" t="s">
        <v>165</v>
      </c>
      <c r="I70" s="1" t="s">
        <v>153</v>
      </c>
      <c r="J70" s="1" t="s">
        <v>35</v>
      </c>
      <c r="K70" s="1">
        <v>1</v>
      </c>
      <c r="L70" s="5">
        <v>45577</v>
      </c>
      <c r="M70" s="5">
        <v>45577</v>
      </c>
      <c r="N70" s="1">
        <v>2024</v>
      </c>
      <c r="O70" s="1" t="s">
        <v>70</v>
      </c>
      <c r="P70" s="1">
        <v>1</v>
      </c>
      <c r="Q70" s="1" t="s">
        <v>75</v>
      </c>
      <c r="R70" s="1" t="s">
        <v>77</v>
      </c>
      <c r="S70" s="1" t="s">
        <v>35</v>
      </c>
    </row>
    <row r="71" spans="1:19" x14ac:dyDescent="0.25">
      <c r="A71" s="1" t="s">
        <v>237</v>
      </c>
      <c r="B71" s="9" t="s">
        <v>160</v>
      </c>
      <c r="C71" s="1" t="str">
        <f>VLOOKUP(B71,'[1]Tabla Clientes'!$A:$G,2,0)</f>
        <v>Junior</v>
      </c>
      <c r="D71" s="1" t="str">
        <f>VLOOKUP(B71,'[1]Tabla Clientes'!$A:$G,3,0)</f>
        <v>Jodman</v>
      </c>
      <c r="E71" s="1" t="s">
        <v>36</v>
      </c>
      <c r="F71" s="1" t="s">
        <v>32</v>
      </c>
      <c r="G71" s="1" t="s">
        <v>35</v>
      </c>
      <c r="H71" s="1" t="s">
        <v>161</v>
      </c>
      <c r="I71" s="1" t="s">
        <v>153</v>
      </c>
      <c r="J71" s="1" t="s">
        <v>35</v>
      </c>
      <c r="K71" s="1">
        <v>1</v>
      </c>
      <c r="L71" s="5">
        <v>45572</v>
      </c>
      <c r="M71" s="5">
        <v>45572</v>
      </c>
      <c r="N71" s="1">
        <v>2024</v>
      </c>
      <c r="O71" s="1" t="s">
        <v>70</v>
      </c>
      <c r="P71" s="1">
        <v>1</v>
      </c>
      <c r="Q71" s="1" t="s">
        <v>74</v>
      </c>
      <c r="R71" s="1" t="s">
        <v>77</v>
      </c>
      <c r="S71" s="1" t="s">
        <v>35</v>
      </c>
    </row>
    <row r="72" spans="1:19" x14ac:dyDescent="0.25">
      <c r="A72" s="1" t="s">
        <v>149</v>
      </c>
      <c r="B72" s="9" t="s">
        <v>41</v>
      </c>
      <c r="C72" s="1" t="str">
        <f>VLOOKUP(B72,'[1]Tabla Clientes'!$A:$G,2,0)</f>
        <v xml:space="preserve">Cristian </v>
      </c>
      <c r="D72" s="1" t="str">
        <f>VLOOKUP(B72,'[1]Tabla Clientes'!$A:$G,3,0)</f>
        <v>Sanchez</v>
      </c>
      <c r="E72" s="1" t="s">
        <v>36</v>
      </c>
      <c r="F72" s="1" t="s">
        <v>32</v>
      </c>
      <c r="G72" s="1" t="s">
        <v>35</v>
      </c>
      <c r="H72" s="1" t="s">
        <v>42</v>
      </c>
      <c r="I72" s="1" t="s">
        <v>37</v>
      </c>
      <c r="J72" s="1" t="s">
        <v>35</v>
      </c>
      <c r="K72" s="1">
        <v>1</v>
      </c>
      <c r="L72" s="5">
        <v>45566</v>
      </c>
      <c r="M72" s="5">
        <v>45566</v>
      </c>
      <c r="N72" s="3">
        <v>2024</v>
      </c>
      <c r="O72" s="3" t="s">
        <v>70</v>
      </c>
      <c r="P72" s="4">
        <v>1</v>
      </c>
      <c r="Q72" s="1" t="s">
        <v>74</v>
      </c>
      <c r="R72" s="1" t="s">
        <v>77</v>
      </c>
      <c r="S72" s="1" t="s">
        <v>35</v>
      </c>
    </row>
    <row r="73" spans="1:19" x14ac:dyDescent="0.25">
      <c r="A73" s="1" t="s">
        <v>238</v>
      </c>
      <c r="B73" s="9" t="s">
        <v>157</v>
      </c>
      <c r="C73" s="1" t="str">
        <f>VLOOKUP(B73,'[1]Tabla Clientes'!$A:$G,2,0)</f>
        <v>Ruben Dario</v>
      </c>
      <c r="D73" s="1" t="str">
        <f>VLOOKUP(B73,'[1]Tabla Clientes'!$A:$G,3,0)</f>
        <v>Mejia</v>
      </c>
      <c r="E73" s="1" t="s">
        <v>5</v>
      </c>
      <c r="F73" s="1" t="s">
        <v>12</v>
      </c>
      <c r="G73" s="1" t="s">
        <v>35</v>
      </c>
      <c r="H73" s="1" t="s">
        <v>158</v>
      </c>
      <c r="I73" s="1" t="s">
        <v>153</v>
      </c>
      <c r="J73" s="1" t="s">
        <v>35</v>
      </c>
      <c r="K73" s="1">
        <v>1</v>
      </c>
      <c r="L73" s="5">
        <v>45563</v>
      </c>
      <c r="M73" s="5">
        <v>45563</v>
      </c>
      <c r="N73" s="1">
        <v>2024</v>
      </c>
      <c r="O73" s="1" t="s">
        <v>28</v>
      </c>
      <c r="P73" s="1">
        <v>1</v>
      </c>
      <c r="Q73" s="1" t="s">
        <v>75</v>
      </c>
      <c r="R73" s="1" t="s">
        <v>77</v>
      </c>
      <c r="S73" s="1" t="s">
        <v>35</v>
      </c>
    </row>
    <row r="74" spans="1:19" x14ac:dyDescent="0.25">
      <c r="A74" s="1" t="s">
        <v>146</v>
      </c>
      <c r="B74" s="9" t="s">
        <v>2</v>
      </c>
      <c r="C74" s="1" t="str">
        <f>VLOOKUP(B74,'[1]Tabla Clientes'!$A:$G,2,0)</f>
        <v xml:space="preserve">Cristian </v>
      </c>
      <c r="D74" s="1" t="str">
        <f>VLOOKUP(B74,'[1]Tabla Clientes'!$A:$G,3,0)</f>
        <v>Bernal</v>
      </c>
      <c r="E74" s="1" t="s">
        <v>4</v>
      </c>
      <c r="F74" s="1" t="s">
        <v>11</v>
      </c>
      <c r="G74" s="1" t="s">
        <v>35</v>
      </c>
      <c r="H74" s="1" t="s">
        <v>9</v>
      </c>
      <c r="I74" s="1" t="s">
        <v>37</v>
      </c>
      <c r="J74" s="1" t="s">
        <v>35</v>
      </c>
      <c r="K74" s="1">
        <v>1</v>
      </c>
      <c r="L74" s="2">
        <v>45536</v>
      </c>
      <c r="M74" s="2">
        <v>45536</v>
      </c>
      <c r="N74" s="3">
        <v>2024</v>
      </c>
      <c r="O74" s="3" t="s">
        <v>28</v>
      </c>
      <c r="P74" s="4">
        <v>1</v>
      </c>
      <c r="Q74" s="1" t="s">
        <v>74</v>
      </c>
      <c r="R74" s="1" t="s">
        <v>77</v>
      </c>
      <c r="S74" s="1" t="s">
        <v>35</v>
      </c>
    </row>
    <row r="75" spans="1:19" x14ac:dyDescent="0.25">
      <c r="A75" s="1" t="s">
        <v>147</v>
      </c>
      <c r="B75" s="9" t="s">
        <v>87</v>
      </c>
      <c r="C75" s="1" t="str">
        <f>VLOOKUP(B75,'[1]Tabla Clientes'!$A:$G,2,0)</f>
        <v xml:space="preserve">Mauricio </v>
      </c>
      <c r="D75" s="1" t="str">
        <f>VLOOKUP(B75,'[1]Tabla Clientes'!$A:$G,3,0)</f>
        <v>Casallas</v>
      </c>
      <c r="E75" s="1" t="s">
        <v>5</v>
      </c>
      <c r="F75" s="1" t="s">
        <v>12</v>
      </c>
      <c r="G75" s="1" t="s">
        <v>35</v>
      </c>
      <c r="H75" s="1" t="s">
        <v>152</v>
      </c>
      <c r="I75" s="1" t="s">
        <v>153</v>
      </c>
      <c r="J75" s="1" t="s">
        <v>35</v>
      </c>
      <c r="K75" s="1">
        <v>3</v>
      </c>
      <c r="L75" s="5">
        <v>45536</v>
      </c>
      <c r="M75" s="5">
        <v>45536</v>
      </c>
      <c r="N75" s="1">
        <v>2024</v>
      </c>
      <c r="O75" s="1" t="s">
        <v>28</v>
      </c>
      <c r="P75" s="1">
        <v>1</v>
      </c>
      <c r="Q75" s="1" t="s">
        <v>73</v>
      </c>
      <c r="R75" s="1" t="s">
        <v>77</v>
      </c>
      <c r="S75" s="1" t="s">
        <v>46</v>
      </c>
    </row>
    <row r="76" spans="1:19" x14ac:dyDescent="0.25">
      <c r="A76" s="1" t="s">
        <v>198</v>
      </c>
      <c r="B76" s="9" t="s">
        <v>50</v>
      </c>
      <c r="C76" s="1" t="str">
        <f>VLOOKUP(B76,'[1]Tabla Clientes'!$A:$G,2,0)</f>
        <v>Frankin</v>
      </c>
      <c r="D76" s="1" t="str">
        <f>VLOOKUP(B76,'[1]Tabla Clientes'!$A:$G,3,0)</f>
        <v>Gonzalez</v>
      </c>
      <c r="E76" s="1" t="s">
        <v>36</v>
      </c>
      <c r="F76" s="1" t="s">
        <v>32</v>
      </c>
      <c r="G76" s="1" t="s">
        <v>35</v>
      </c>
      <c r="H76" s="1" t="s">
        <v>223</v>
      </c>
      <c r="I76" s="1" t="s">
        <v>37</v>
      </c>
      <c r="J76" s="1" t="s">
        <v>35</v>
      </c>
      <c r="K76" s="1">
        <v>1</v>
      </c>
      <c r="L76" s="5">
        <v>45516</v>
      </c>
      <c r="M76" s="5">
        <v>45516</v>
      </c>
      <c r="N76" s="1">
        <v>2025</v>
      </c>
      <c r="O76" s="1" t="s">
        <v>26</v>
      </c>
      <c r="P76" s="4">
        <v>1</v>
      </c>
      <c r="Q76" s="1" t="s">
        <v>75</v>
      </c>
      <c r="R76" s="1" t="s">
        <v>77</v>
      </c>
      <c r="S76" s="1" t="s">
        <v>35</v>
      </c>
    </row>
    <row r="77" spans="1:19" x14ac:dyDescent="0.25">
      <c r="A77" s="1" t="s">
        <v>144</v>
      </c>
      <c r="B77" s="9" t="s">
        <v>50</v>
      </c>
      <c r="C77" s="1" t="str">
        <f>VLOOKUP(B77,'[1]Tabla Clientes'!$A:$G,2,0)</f>
        <v>Frankin</v>
      </c>
      <c r="D77" s="1" t="str">
        <f>VLOOKUP(B77,'[1]Tabla Clientes'!$A:$G,3,0)</f>
        <v>Gonzalez</v>
      </c>
      <c r="E77" s="1" t="s">
        <v>36</v>
      </c>
      <c r="F77" s="1" t="s">
        <v>32</v>
      </c>
      <c r="G77" s="1" t="s">
        <v>35</v>
      </c>
      <c r="H77" s="1" t="s">
        <v>51</v>
      </c>
      <c r="I77" s="1" t="s">
        <v>37</v>
      </c>
      <c r="J77" s="1" t="s">
        <v>35</v>
      </c>
      <c r="K77" s="1">
        <v>1</v>
      </c>
      <c r="L77" s="5">
        <v>45505</v>
      </c>
      <c r="M77" s="5">
        <v>45505</v>
      </c>
      <c r="N77" s="3">
        <v>2024</v>
      </c>
      <c r="O77" s="1" t="s">
        <v>27</v>
      </c>
      <c r="P77" s="4">
        <v>1</v>
      </c>
      <c r="Q77" s="1" t="s">
        <v>75</v>
      </c>
      <c r="R77" s="1" t="s">
        <v>77</v>
      </c>
      <c r="S77" s="1" t="s">
        <v>35</v>
      </c>
    </row>
    <row r="78" spans="1:19" x14ac:dyDescent="0.25">
      <c r="A78" s="1" t="s">
        <v>145</v>
      </c>
      <c r="B78" s="9" t="s">
        <v>48</v>
      </c>
      <c r="C78" s="1" t="str">
        <f>VLOOKUP(B78,'[1]Tabla Clientes'!$A:$G,2,0)</f>
        <v>Emiliano</v>
      </c>
      <c r="D78" s="1">
        <v>0</v>
      </c>
      <c r="E78" s="1" t="s">
        <v>4</v>
      </c>
      <c r="F78" s="1" t="s">
        <v>11</v>
      </c>
      <c r="G78" s="1" t="s">
        <v>35</v>
      </c>
      <c r="H78" s="1" t="s">
        <v>49</v>
      </c>
      <c r="I78" s="1" t="s">
        <v>37</v>
      </c>
      <c r="J78" s="1" t="s">
        <v>35</v>
      </c>
      <c r="K78" s="1">
        <v>1</v>
      </c>
      <c r="L78" s="5">
        <v>45505</v>
      </c>
      <c r="M78" s="5">
        <v>45505</v>
      </c>
      <c r="N78" s="3">
        <v>2024</v>
      </c>
      <c r="O78" s="3" t="s">
        <v>69</v>
      </c>
      <c r="P78" s="4">
        <v>1</v>
      </c>
      <c r="Q78" s="1" t="s">
        <v>75</v>
      </c>
      <c r="R78" s="1" t="s">
        <v>77</v>
      </c>
      <c r="S78" s="1" t="s">
        <v>35</v>
      </c>
    </row>
    <row r="79" spans="1:19" x14ac:dyDescent="0.25">
      <c r="A79" s="1" t="s">
        <v>140</v>
      </c>
      <c r="B79" s="9" t="s">
        <v>43</v>
      </c>
      <c r="C79" s="1" t="str">
        <f>VLOOKUP(B79,'[1]Tabla Clientes'!$A:$G,2,0)</f>
        <v>Damaris</v>
      </c>
      <c r="D79" s="1" t="str">
        <f>VLOOKUP(B79,'[1]Tabla Clientes'!$A:$G,3,0)</f>
        <v>Danny</v>
      </c>
      <c r="E79" s="1" t="s">
        <v>36</v>
      </c>
      <c r="F79" s="1" t="s">
        <v>32</v>
      </c>
      <c r="G79" s="1" t="s">
        <v>35</v>
      </c>
      <c r="H79" s="1" t="s">
        <v>45</v>
      </c>
      <c r="I79" s="1" t="s">
        <v>37</v>
      </c>
      <c r="J79" s="1" t="s">
        <v>35</v>
      </c>
      <c r="K79" s="1">
        <v>3</v>
      </c>
      <c r="L79" s="5">
        <v>45474</v>
      </c>
      <c r="M79" s="5">
        <v>45474</v>
      </c>
      <c r="N79" s="3">
        <v>2024</v>
      </c>
      <c r="O79" s="3" t="s">
        <v>26</v>
      </c>
      <c r="P79" s="4">
        <v>1</v>
      </c>
      <c r="Q79" s="1" t="s">
        <v>74</v>
      </c>
      <c r="R79" s="1" t="s">
        <v>77</v>
      </c>
      <c r="S79" s="1" t="s">
        <v>46</v>
      </c>
    </row>
    <row r="80" spans="1:19" x14ac:dyDescent="0.25">
      <c r="A80" s="1" t="s">
        <v>141</v>
      </c>
      <c r="B80" s="9" t="s">
        <v>38</v>
      </c>
      <c r="C80" s="1" t="str">
        <f>VLOOKUP(B80,'[1]Tabla Clientes'!$A:$G,2,0)</f>
        <v>Carlos A</v>
      </c>
      <c r="D80" s="1" t="str">
        <f>VLOOKUP(B80,'[1]Tabla Clientes'!$A:$G,3,0)</f>
        <v>Cardenas</v>
      </c>
      <c r="E80" s="1" t="s">
        <v>36</v>
      </c>
      <c r="F80" s="1" t="s">
        <v>32</v>
      </c>
      <c r="G80" s="1" t="s">
        <v>35</v>
      </c>
      <c r="H80" s="1" t="s">
        <v>39</v>
      </c>
      <c r="I80" s="1" t="s">
        <v>37</v>
      </c>
      <c r="J80" s="1" t="s">
        <v>35</v>
      </c>
      <c r="K80" s="1">
        <v>1</v>
      </c>
      <c r="L80" s="2">
        <v>45474</v>
      </c>
      <c r="M80" s="2">
        <v>45474</v>
      </c>
      <c r="N80" s="3">
        <v>2024</v>
      </c>
      <c r="O80" s="3" t="s">
        <v>26</v>
      </c>
      <c r="P80" s="4">
        <v>1</v>
      </c>
      <c r="Q80" s="1" t="s">
        <v>74</v>
      </c>
      <c r="R80" s="1" t="s">
        <v>77</v>
      </c>
      <c r="S80" s="1" t="s">
        <v>35</v>
      </c>
    </row>
    <row r="81" spans="1:19" x14ac:dyDescent="0.25">
      <c r="A81" s="1" t="s">
        <v>142</v>
      </c>
      <c r="B81" s="9" t="s">
        <v>38</v>
      </c>
      <c r="C81" s="1" t="str">
        <f>VLOOKUP(B81,'[1]Tabla Clientes'!$A:$G,2,0)</f>
        <v>Carlos A</v>
      </c>
      <c r="D81" s="1" t="str">
        <f>VLOOKUP(B81,'[1]Tabla Clientes'!$A:$G,3,0)</f>
        <v>Cardenas</v>
      </c>
      <c r="E81" s="1" t="s">
        <v>5</v>
      </c>
      <c r="F81" s="1" t="s">
        <v>12</v>
      </c>
      <c r="G81" s="1" t="s">
        <v>35</v>
      </c>
      <c r="H81" s="1" t="s">
        <v>40</v>
      </c>
      <c r="I81" s="1" t="s">
        <v>37</v>
      </c>
      <c r="J81" s="1" t="s">
        <v>35</v>
      </c>
      <c r="K81" s="1">
        <v>1</v>
      </c>
      <c r="L81" s="2">
        <v>45474</v>
      </c>
      <c r="M81" s="2">
        <v>45474</v>
      </c>
      <c r="N81" s="3">
        <v>2024</v>
      </c>
      <c r="O81" s="3" t="s">
        <v>26</v>
      </c>
      <c r="P81" s="4">
        <v>1</v>
      </c>
      <c r="Q81" s="1" t="s">
        <v>74</v>
      </c>
      <c r="R81" s="1" t="s">
        <v>77</v>
      </c>
      <c r="S81" s="1" t="s">
        <v>35</v>
      </c>
    </row>
    <row r="82" spans="1:19" x14ac:dyDescent="0.25">
      <c r="A82" s="1" t="s">
        <v>143</v>
      </c>
      <c r="B82" s="9" t="s">
        <v>47</v>
      </c>
      <c r="C82" s="1" t="str">
        <f>VLOOKUP(B82,'[1]Tabla Clientes'!$A:$G,2,0)</f>
        <v>Danny</v>
      </c>
      <c r="D82" s="1" t="str">
        <f>VLOOKUP(B82,'[1]Tabla Clientes'!$A:$G,3,0)</f>
        <v>Martinez</v>
      </c>
      <c r="E82" s="1" t="s">
        <v>36</v>
      </c>
      <c r="F82" s="1" t="s">
        <v>32</v>
      </c>
      <c r="G82" s="1" t="s">
        <v>35</v>
      </c>
      <c r="H82" s="1" t="s">
        <v>44</v>
      </c>
      <c r="I82" s="1" t="s">
        <v>37</v>
      </c>
      <c r="J82" s="1" t="s">
        <v>35</v>
      </c>
      <c r="K82" s="1">
        <v>1</v>
      </c>
      <c r="L82" s="5">
        <v>45474</v>
      </c>
      <c r="M82" s="5">
        <v>45474</v>
      </c>
      <c r="N82" s="3">
        <v>2024</v>
      </c>
      <c r="O82" s="1" t="s">
        <v>26</v>
      </c>
      <c r="P82" s="4">
        <v>1</v>
      </c>
      <c r="Q82" s="1" t="s">
        <v>75</v>
      </c>
      <c r="R82" s="1" t="s">
        <v>77</v>
      </c>
      <c r="S82" s="1" t="s">
        <v>35</v>
      </c>
    </row>
    <row r="83" spans="1:19" x14ac:dyDescent="0.25">
      <c r="A83" s="1" t="s">
        <v>138</v>
      </c>
      <c r="B83" s="9" t="s">
        <v>63</v>
      </c>
      <c r="C83" s="1" t="str">
        <f>VLOOKUP(B83,'[1]Tabla Clientes'!$A:$G,2,0)</f>
        <v>Nelson</v>
      </c>
      <c r="D83" s="1" t="str">
        <f>VLOOKUP(B83,'[1]Tabla Clientes'!$A:$G,3,0)</f>
        <v>Jodman</v>
      </c>
      <c r="E83" s="1" t="s">
        <v>36</v>
      </c>
      <c r="F83" s="1" t="s">
        <v>32</v>
      </c>
      <c r="G83" s="1" t="s">
        <v>35</v>
      </c>
      <c r="H83" s="1" t="s">
        <v>93</v>
      </c>
      <c r="I83" s="1" t="s">
        <v>37</v>
      </c>
      <c r="J83" s="1" t="s">
        <v>35</v>
      </c>
      <c r="K83" s="1">
        <v>1</v>
      </c>
      <c r="L83" s="5">
        <v>45444</v>
      </c>
      <c r="M83" s="5">
        <v>45444</v>
      </c>
      <c r="N83" s="1">
        <v>2024</v>
      </c>
      <c r="O83" s="1" t="s">
        <v>25</v>
      </c>
      <c r="P83" s="4">
        <v>1</v>
      </c>
      <c r="Q83" s="1" t="s">
        <v>73</v>
      </c>
      <c r="R83" s="1" t="s">
        <v>77</v>
      </c>
      <c r="S83" s="1" t="s">
        <v>35</v>
      </c>
    </row>
    <row r="84" spans="1:19" x14ac:dyDescent="0.25">
      <c r="A84" s="1" t="s">
        <v>139</v>
      </c>
      <c r="B84" s="9" t="s">
        <v>17</v>
      </c>
      <c r="C84" s="1" t="str">
        <f>VLOOKUP(B84,'[1]Tabla Clientes'!$A:$G,2,0)</f>
        <v>Jan</v>
      </c>
      <c r="D84" s="1" t="str">
        <f>VLOOKUP(B84,'[1]Tabla Clientes'!$A:$G,3,0)</f>
        <v>Garcia</v>
      </c>
      <c r="E84" s="1" t="s">
        <v>36</v>
      </c>
      <c r="F84" s="1" t="s">
        <v>32</v>
      </c>
      <c r="G84" s="1" t="s">
        <v>35</v>
      </c>
      <c r="H84" s="1" t="s">
        <v>80</v>
      </c>
      <c r="I84" s="1" t="s">
        <v>37</v>
      </c>
      <c r="J84" s="1" t="s">
        <v>35</v>
      </c>
      <c r="K84" s="1">
        <v>1</v>
      </c>
      <c r="L84" s="5">
        <v>45444</v>
      </c>
      <c r="M84" s="5">
        <v>45444</v>
      </c>
      <c r="N84" s="1">
        <v>2024</v>
      </c>
      <c r="O84" s="1" t="s">
        <v>25</v>
      </c>
      <c r="P84" s="4">
        <v>1</v>
      </c>
      <c r="Q84" s="1" t="s">
        <v>74</v>
      </c>
      <c r="R84" s="1" t="s">
        <v>97</v>
      </c>
      <c r="S84" s="1" t="s">
        <v>35</v>
      </c>
    </row>
    <row r="85" spans="1:19" x14ac:dyDescent="0.25">
      <c r="A85" s="1" t="s">
        <v>239</v>
      </c>
      <c r="B85" s="9" t="s">
        <v>17</v>
      </c>
      <c r="C85" s="1" t="str">
        <f>VLOOKUP(B85,'[1]Tabla Clientes'!$A:$G,2,0)</f>
        <v>Jan</v>
      </c>
      <c r="D85" s="1" t="str">
        <f>VLOOKUP(B85,'[1]Tabla Clientes'!$A:$G,3,0)</f>
        <v>Garcia</v>
      </c>
      <c r="E85" s="1" t="s">
        <v>4</v>
      </c>
      <c r="F85" s="1" t="s">
        <v>11</v>
      </c>
      <c r="G85" s="1" t="s">
        <v>35</v>
      </c>
      <c r="H85" s="1" t="s">
        <v>55</v>
      </c>
      <c r="I85" s="1" t="s">
        <v>37</v>
      </c>
      <c r="J85" s="1" t="s">
        <v>35</v>
      </c>
      <c r="K85" s="1">
        <v>1</v>
      </c>
      <c r="L85" s="5">
        <v>45444</v>
      </c>
      <c r="M85" s="5">
        <v>45444</v>
      </c>
      <c r="N85" s="3">
        <v>2024</v>
      </c>
      <c r="O85" s="1" t="s">
        <v>25</v>
      </c>
      <c r="P85" s="4">
        <v>1</v>
      </c>
      <c r="Q85" s="1" t="s">
        <v>75</v>
      </c>
      <c r="R85" s="1" t="s">
        <v>97</v>
      </c>
      <c r="S85" s="1" t="s">
        <v>35</v>
      </c>
    </row>
    <row r="86" spans="1:19" x14ac:dyDescent="0.25">
      <c r="A86" s="1" t="s">
        <v>137</v>
      </c>
      <c r="B86" s="9" t="s">
        <v>17</v>
      </c>
      <c r="C86" s="1" t="str">
        <f>VLOOKUP(B86,'[1]Tabla Clientes'!$A:$G,2,0)</f>
        <v>Jan</v>
      </c>
      <c r="D86" s="1" t="str">
        <f>VLOOKUP(B86,'[1]Tabla Clientes'!$A:$G,3,0)</f>
        <v>Garcia</v>
      </c>
      <c r="E86" s="1" t="s">
        <v>4</v>
      </c>
      <c r="F86" s="1" t="s">
        <v>11</v>
      </c>
      <c r="G86" s="1" t="s">
        <v>35</v>
      </c>
      <c r="H86" s="1" t="s">
        <v>19</v>
      </c>
      <c r="I86" s="1" t="s">
        <v>37</v>
      </c>
      <c r="J86" s="1" t="s">
        <v>35</v>
      </c>
      <c r="K86" s="1">
        <v>1</v>
      </c>
      <c r="L86" s="5">
        <v>45413</v>
      </c>
      <c r="M86" s="5">
        <v>45413</v>
      </c>
      <c r="N86" s="3">
        <v>2024</v>
      </c>
      <c r="O86" s="1" t="s">
        <v>24</v>
      </c>
      <c r="P86" s="4">
        <v>1</v>
      </c>
      <c r="Q86" s="1" t="s">
        <v>75</v>
      </c>
      <c r="R86" s="1" t="s">
        <v>97</v>
      </c>
      <c r="S86" s="1" t="s">
        <v>35</v>
      </c>
    </row>
    <row r="87" spans="1:19" x14ac:dyDescent="0.25">
      <c r="A87" s="1" t="s">
        <v>136</v>
      </c>
      <c r="B87" s="9" t="s">
        <v>17</v>
      </c>
      <c r="C87" s="1" t="str">
        <f>VLOOKUP(B87,'[1]Tabla Clientes'!$A:$G,2,0)</f>
        <v>Jan</v>
      </c>
      <c r="D87" s="1" t="str">
        <f>VLOOKUP(B87,'[1]Tabla Clientes'!$A:$G,3,0)</f>
        <v>Garcia</v>
      </c>
      <c r="E87" s="1" t="s">
        <v>4</v>
      </c>
      <c r="F87" s="1" t="s">
        <v>11</v>
      </c>
      <c r="G87" s="1" t="s">
        <v>35</v>
      </c>
      <c r="H87" s="1" t="s">
        <v>18</v>
      </c>
      <c r="I87" s="1" t="s">
        <v>37</v>
      </c>
      <c r="J87" s="1" t="s">
        <v>35</v>
      </c>
      <c r="K87" s="1">
        <v>1</v>
      </c>
      <c r="L87" s="5">
        <v>45383</v>
      </c>
      <c r="M87" s="5">
        <v>45383</v>
      </c>
      <c r="N87" s="3">
        <v>2024</v>
      </c>
      <c r="O87" s="1" t="s">
        <v>23</v>
      </c>
      <c r="P87" s="4">
        <v>1</v>
      </c>
      <c r="Q87" s="1" t="s">
        <v>75</v>
      </c>
      <c r="R87" s="1" t="s">
        <v>97</v>
      </c>
      <c r="S87" s="1" t="s">
        <v>35</v>
      </c>
    </row>
    <row r="88" spans="1:19" x14ac:dyDescent="0.25">
      <c r="A88" s="1" t="s">
        <v>133</v>
      </c>
      <c r="B88" s="9" t="s">
        <v>64</v>
      </c>
      <c r="C88" s="1" t="str">
        <f>VLOOKUP(B88,'[1]Tabla Clientes'!$A:$G,2,0)</f>
        <v>Rita</v>
      </c>
      <c r="D88" s="1" t="str">
        <f>VLOOKUP(B88,'[1]Tabla Clientes'!$A:$G,3,0)</f>
        <v>Orrego</v>
      </c>
      <c r="E88" s="1" t="s">
        <v>6</v>
      </c>
      <c r="F88" s="1" t="s">
        <v>11</v>
      </c>
      <c r="G88" s="1" t="s">
        <v>35</v>
      </c>
      <c r="H88" s="1" t="s">
        <v>65</v>
      </c>
      <c r="I88" s="1" t="s">
        <v>37</v>
      </c>
      <c r="J88" s="1" t="s">
        <v>35</v>
      </c>
      <c r="K88" s="1">
        <v>1</v>
      </c>
      <c r="L88" s="5">
        <v>45352</v>
      </c>
      <c r="M88" s="5">
        <v>45352</v>
      </c>
      <c r="N88" s="3">
        <v>2024</v>
      </c>
      <c r="O88" s="1" t="s">
        <v>22</v>
      </c>
      <c r="P88" s="4">
        <v>1</v>
      </c>
      <c r="Q88" s="1" t="s">
        <v>75</v>
      </c>
      <c r="R88" s="1" t="s">
        <v>77</v>
      </c>
      <c r="S88" s="1" t="s">
        <v>35</v>
      </c>
    </row>
    <row r="89" spans="1:19" x14ac:dyDescent="0.25">
      <c r="A89" s="1" t="s">
        <v>134</v>
      </c>
      <c r="B89" s="9" t="s">
        <v>56</v>
      </c>
      <c r="C89" s="1" t="str">
        <f>VLOOKUP(B89,'[1]Tabla Clientes'!$A:$G,2,0)</f>
        <v>Julian Andres</v>
      </c>
      <c r="D89" s="1" t="str">
        <f>VLOOKUP(B89,'[1]Tabla Clientes'!$A:$G,3,0)</f>
        <v>Rozo</v>
      </c>
      <c r="E89" s="1" t="s">
        <v>4</v>
      </c>
      <c r="F89" s="1" t="s">
        <v>11</v>
      </c>
      <c r="G89" s="1" t="s">
        <v>35</v>
      </c>
      <c r="H89" s="1" t="s">
        <v>57</v>
      </c>
      <c r="I89" s="1" t="s">
        <v>37</v>
      </c>
      <c r="J89" s="1" t="s">
        <v>35</v>
      </c>
      <c r="K89" s="1">
        <v>1</v>
      </c>
      <c r="L89" s="5">
        <v>45352</v>
      </c>
      <c r="M89" s="5">
        <v>45352</v>
      </c>
      <c r="N89" s="3">
        <v>2024</v>
      </c>
      <c r="O89" s="1" t="s">
        <v>22</v>
      </c>
      <c r="P89" s="4">
        <v>1</v>
      </c>
      <c r="Q89" s="1" t="s">
        <v>75</v>
      </c>
      <c r="R89" s="1" t="s">
        <v>77</v>
      </c>
      <c r="S89" s="1" t="s">
        <v>35</v>
      </c>
    </row>
    <row r="90" spans="1:19" x14ac:dyDescent="0.25">
      <c r="A90" s="1" t="s">
        <v>135</v>
      </c>
      <c r="B90" s="9" t="s">
        <v>17</v>
      </c>
      <c r="C90" s="1" t="str">
        <f>VLOOKUP(B90,'[1]Tabla Clientes'!$A:$G,2,0)</f>
        <v>Jan</v>
      </c>
      <c r="D90" s="1" t="str">
        <f>VLOOKUP(B90,'[1]Tabla Clientes'!$A:$G,3,0)</f>
        <v>Garcia</v>
      </c>
      <c r="E90" s="1" t="s">
        <v>4</v>
      </c>
      <c r="F90" s="1" t="s">
        <v>11</v>
      </c>
      <c r="G90" s="1" t="s">
        <v>35</v>
      </c>
      <c r="H90" s="1" t="s">
        <v>20</v>
      </c>
      <c r="I90" s="1" t="s">
        <v>37</v>
      </c>
      <c r="J90" s="1" t="s">
        <v>35</v>
      </c>
      <c r="K90" s="1">
        <v>1</v>
      </c>
      <c r="L90" s="5">
        <v>45352</v>
      </c>
      <c r="M90" s="5">
        <v>45352</v>
      </c>
      <c r="N90" s="3">
        <v>2024</v>
      </c>
      <c r="O90" s="1" t="s">
        <v>22</v>
      </c>
      <c r="P90" s="4">
        <v>1</v>
      </c>
      <c r="Q90" s="1" t="s">
        <v>75</v>
      </c>
      <c r="R90" s="1" t="s">
        <v>97</v>
      </c>
      <c r="S90" s="1" t="s">
        <v>35</v>
      </c>
    </row>
    <row r="91" spans="1:19" x14ac:dyDescent="0.25">
      <c r="A91" s="1" t="s">
        <v>130</v>
      </c>
      <c r="B91" s="9" t="s">
        <v>58</v>
      </c>
      <c r="C91" s="1" t="str">
        <f>VLOOKUP(B91,'[1]Tabla Clientes'!$A:$G,2,0)</f>
        <v>Mario</v>
      </c>
      <c r="D91" s="1" t="str">
        <f>VLOOKUP(B91,'[1]Tabla Clientes'!$A:$G,3,0)</f>
        <v>Matiz</v>
      </c>
      <c r="E91" s="1" t="s">
        <v>4</v>
      </c>
      <c r="F91" s="1" t="s">
        <v>11</v>
      </c>
      <c r="G91" s="1" t="s">
        <v>35</v>
      </c>
      <c r="H91" s="1" t="s">
        <v>83</v>
      </c>
      <c r="I91" s="1" t="s">
        <v>37</v>
      </c>
      <c r="J91" s="1" t="s">
        <v>35</v>
      </c>
      <c r="K91" s="1">
        <v>1</v>
      </c>
      <c r="L91" s="5">
        <v>45323</v>
      </c>
      <c r="M91" s="5">
        <v>45323</v>
      </c>
      <c r="N91" s="1">
        <v>2024</v>
      </c>
      <c r="O91" s="1" t="s">
        <v>21</v>
      </c>
      <c r="P91" s="1">
        <v>1</v>
      </c>
      <c r="Q91" s="1" t="s">
        <v>74</v>
      </c>
      <c r="R91" s="1" t="s">
        <v>77</v>
      </c>
      <c r="S91" s="1" t="s">
        <v>35</v>
      </c>
    </row>
    <row r="92" spans="1:19" x14ac:dyDescent="0.25">
      <c r="A92" s="1" t="s">
        <v>131</v>
      </c>
      <c r="B92" s="9" t="s">
        <v>52</v>
      </c>
      <c r="C92" s="1" t="str">
        <f>VLOOKUP(B92,'[1]Tabla Clientes'!$A:$G,2,0)</f>
        <v>Harold</v>
      </c>
      <c r="D92" s="1" t="str">
        <f>VLOOKUP(B92,'[1]Tabla Clientes'!$A:$G,3,0)</f>
        <v>Orrego</v>
      </c>
      <c r="E92" s="1" t="s">
        <v>6</v>
      </c>
      <c r="F92" s="1" t="s">
        <v>13</v>
      </c>
      <c r="G92" s="1" t="s">
        <v>35</v>
      </c>
      <c r="H92" s="1" t="s">
        <v>53</v>
      </c>
      <c r="I92" s="1" t="s">
        <v>37</v>
      </c>
      <c r="J92" s="1" t="s">
        <v>35</v>
      </c>
      <c r="K92" s="1">
        <v>3</v>
      </c>
      <c r="L92" s="2">
        <v>45323</v>
      </c>
      <c r="M92" s="2">
        <v>45323</v>
      </c>
      <c r="N92" s="3">
        <v>2024</v>
      </c>
      <c r="O92" s="1" t="s">
        <v>21</v>
      </c>
      <c r="P92" s="4">
        <v>1</v>
      </c>
      <c r="Q92" s="1" t="s">
        <v>75</v>
      </c>
      <c r="R92" s="1" t="s">
        <v>77</v>
      </c>
      <c r="S92" s="1" t="s">
        <v>46</v>
      </c>
    </row>
    <row r="93" spans="1:19" x14ac:dyDescent="0.25">
      <c r="A93" s="1" t="s">
        <v>132</v>
      </c>
      <c r="B93" s="9" t="s">
        <v>17</v>
      </c>
      <c r="C93" s="1" t="str">
        <f>VLOOKUP(B93,'[1]Tabla Clientes'!$A:$G,2,0)</f>
        <v>Jan</v>
      </c>
      <c r="D93" s="1" t="str">
        <f>VLOOKUP(B93,'[1]Tabla Clientes'!$A:$G,3,0)</f>
        <v>Garcia</v>
      </c>
      <c r="E93" s="1" t="s">
        <v>4</v>
      </c>
      <c r="F93" s="1" t="s">
        <v>11</v>
      </c>
      <c r="G93" s="1" t="s">
        <v>35</v>
      </c>
      <c r="H93" s="1" t="s">
        <v>81</v>
      </c>
      <c r="I93" s="1" t="s">
        <v>37</v>
      </c>
      <c r="J93" s="1" t="s">
        <v>35</v>
      </c>
      <c r="K93" s="1">
        <v>1</v>
      </c>
      <c r="L93" s="5">
        <v>45323</v>
      </c>
      <c r="M93" s="5">
        <v>45323</v>
      </c>
      <c r="N93" s="1">
        <v>2024</v>
      </c>
      <c r="O93" s="1" t="s">
        <v>21</v>
      </c>
      <c r="P93" s="4">
        <v>1</v>
      </c>
      <c r="Q93" s="1" t="s">
        <v>75</v>
      </c>
      <c r="R93" s="1" t="s">
        <v>97</v>
      </c>
      <c r="S93" s="1" t="s">
        <v>35</v>
      </c>
    </row>
    <row r="94" spans="1:19" x14ac:dyDescent="0.25">
      <c r="A94" s="1" t="s">
        <v>240</v>
      </c>
      <c r="B94" s="9" t="s">
        <v>61</v>
      </c>
      <c r="C94" s="1" t="str">
        <f>VLOOKUP(B94,'[1]Tabla Clientes'!$A:$G,2,0)</f>
        <v xml:space="preserve">Mauricio </v>
      </c>
      <c r="D94" s="1" t="str">
        <f>VLOOKUP(B94,'[1]Tabla Clientes'!$A:$G,3,0)</f>
        <v>Maradiaga</v>
      </c>
      <c r="E94" s="1" t="s">
        <v>36</v>
      </c>
      <c r="F94" s="1" t="s">
        <v>32</v>
      </c>
      <c r="G94" s="1" t="s">
        <v>35</v>
      </c>
      <c r="H94" s="1" t="s">
        <v>62</v>
      </c>
      <c r="I94" s="1" t="s">
        <v>153</v>
      </c>
      <c r="J94" s="1" t="s">
        <v>35</v>
      </c>
      <c r="K94" s="1">
        <v>3</v>
      </c>
      <c r="L94" s="5">
        <v>45323</v>
      </c>
      <c r="M94" s="5">
        <v>45323</v>
      </c>
      <c r="N94" s="3">
        <v>2024</v>
      </c>
      <c r="O94" s="1" t="s">
        <v>21</v>
      </c>
      <c r="P94" s="4">
        <v>1</v>
      </c>
      <c r="Q94" s="1" t="s">
        <v>74</v>
      </c>
      <c r="R94" s="1" t="s">
        <v>77</v>
      </c>
      <c r="S94" s="1" t="s">
        <v>46</v>
      </c>
    </row>
    <row r="95" spans="1:19" x14ac:dyDescent="0.25">
      <c r="A95" s="1" t="s">
        <v>127</v>
      </c>
      <c r="B95" s="9" t="s">
        <v>89</v>
      </c>
      <c r="C95" s="1" t="str">
        <f>VLOOKUP(B95,'[1]Tabla Clientes'!$A:$G,2,0)</f>
        <v>Raul</v>
      </c>
      <c r="D95" s="1">
        <v>0</v>
      </c>
      <c r="E95" s="1" t="s">
        <v>36</v>
      </c>
      <c r="F95" s="1" t="s">
        <v>32</v>
      </c>
      <c r="G95" s="1" t="s">
        <v>35</v>
      </c>
      <c r="H95" s="1" t="s">
        <v>95</v>
      </c>
      <c r="I95" s="1" t="s">
        <v>37</v>
      </c>
      <c r="J95" s="1" t="s">
        <v>35</v>
      </c>
      <c r="K95" s="1">
        <v>1</v>
      </c>
      <c r="L95" s="5">
        <v>45292</v>
      </c>
      <c r="M95" s="5">
        <v>45292</v>
      </c>
      <c r="N95" s="1">
        <v>2024</v>
      </c>
      <c r="O95" s="1" t="s">
        <v>16</v>
      </c>
      <c r="P95" s="1">
        <v>1</v>
      </c>
      <c r="Q95" s="1" t="s">
        <v>74</v>
      </c>
      <c r="R95" s="1" t="s">
        <v>77</v>
      </c>
      <c r="S95" s="1" t="s">
        <v>35</v>
      </c>
    </row>
    <row r="96" spans="1:19" x14ac:dyDescent="0.25">
      <c r="A96" s="1" t="s">
        <v>128</v>
      </c>
      <c r="B96" s="9" t="s">
        <v>17</v>
      </c>
      <c r="C96" s="1" t="str">
        <f>VLOOKUP(B96,'[1]Tabla Clientes'!$A:$G,2,0)</f>
        <v>Jan</v>
      </c>
      <c r="D96" s="1" t="str">
        <f>VLOOKUP(B96,'[1]Tabla Clientes'!$A:$G,3,0)</f>
        <v>Garcia</v>
      </c>
      <c r="E96" s="1" t="s">
        <v>5</v>
      </c>
      <c r="F96" s="1" t="s">
        <v>12</v>
      </c>
      <c r="G96" s="1" t="s">
        <v>35</v>
      </c>
      <c r="H96" s="1" t="s">
        <v>82</v>
      </c>
      <c r="I96" s="1" t="s">
        <v>37</v>
      </c>
      <c r="J96" s="1" t="s">
        <v>35</v>
      </c>
      <c r="K96" s="1">
        <v>1</v>
      </c>
      <c r="L96" s="5">
        <v>45292</v>
      </c>
      <c r="M96" s="5">
        <v>45292</v>
      </c>
      <c r="N96" s="1">
        <v>2024</v>
      </c>
      <c r="O96" s="1" t="s">
        <v>16</v>
      </c>
      <c r="P96" s="4">
        <v>1</v>
      </c>
      <c r="Q96" s="1" t="s">
        <v>75</v>
      </c>
      <c r="R96" s="1" t="s">
        <v>97</v>
      </c>
      <c r="S96" s="1" t="s">
        <v>35</v>
      </c>
    </row>
    <row r="97" spans="1:19" x14ac:dyDescent="0.25">
      <c r="A97" s="1" t="s">
        <v>129</v>
      </c>
      <c r="B97" s="9" t="s">
        <v>56</v>
      </c>
      <c r="C97" s="1" t="str">
        <f>VLOOKUP(B97,'[1]Tabla Clientes'!$A:$G,2,0)</f>
        <v>Julian Andres</v>
      </c>
      <c r="D97" s="1" t="str">
        <f>VLOOKUP(B97,'[1]Tabla Clientes'!$A:$G,3,0)</f>
        <v>Rozo</v>
      </c>
      <c r="E97" s="1" t="s">
        <v>4</v>
      </c>
      <c r="F97" s="1" t="s">
        <v>11</v>
      </c>
      <c r="G97" s="1" t="s">
        <v>35</v>
      </c>
      <c r="H97" s="1" t="s">
        <v>92</v>
      </c>
      <c r="I97" s="1" t="s">
        <v>37</v>
      </c>
      <c r="J97" s="1" t="s">
        <v>35</v>
      </c>
      <c r="K97" s="1">
        <v>1</v>
      </c>
      <c r="L97" s="5">
        <v>45292</v>
      </c>
      <c r="M97" s="5">
        <v>45292</v>
      </c>
      <c r="N97" s="1">
        <v>2024</v>
      </c>
      <c r="O97" s="1" t="s">
        <v>16</v>
      </c>
      <c r="P97" s="4">
        <v>1</v>
      </c>
      <c r="Q97" s="1" t="s">
        <v>75</v>
      </c>
      <c r="R97" s="1" t="s">
        <v>77</v>
      </c>
      <c r="S97" s="1" t="s">
        <v>35</v>
      </c>
    </row>
    <row r="98" spans="1:19" x14ac:dyDescent="0.25">
      <c r="A98" s="1" t="s">
        <v>125</v>
      </c>
      <c r="B98" s="9" t="s">
        <v>91</v>
      </c>
      <c r="C98" s="1" t="str">
        <f>VLOOKUP(B98,'[1]Tabla Clientes'!$A:$G,2,0)</f>
        <v>Tatiana</v>
      </c>
      <c r="D98" s="1" t="str">
        <f>VLOOKUP(B98,'[1]Tabla Clientes'!$A:$G,3,0)</f>
        <v>Jodman</v>
      </c>
      <c r="E98" s="1" t="s">
        <v>36</v>
      </c>
      <c r="F98" s="1" t="s">
        <v>32</v>
      </c>
      <c r="G98" s="1" t="s">
        <v>35</v>
      </c>
      <c r="H98" s="1" t="s">
        <v>96</v>
      </c>
      <c r="I98" s="1" t="s">
        <v>37</v>
      </c>
      <c r="J98" s="1" t="s">
        <v>35</v>
      </c>
      <c r="K98" s="1">
        <v>1</v>
      </c>
      <c r="L98" s="5">
        <v>45261</v>
      </c>
      <c r="M98" s="5">
        <v>45261</v>
      </c>
      <c r="N98" s="1">
        <v>2023</v>
      </c>
      <c r="O98" s="1" t="s">
        <v>85</v>
      </c>
      <c r="P98" s="1">
        <v>1</v>
      </c>
      <c r="Q98" s="1" t="s">
        <v>74</v>
      </c>
      <c r="R98" s="1" t="s">
        <v>77</v>
      </c>
      <c r="S98" s="1" t="s">
        <v>35</v>
      </c>
    </row>
    <row r="99" spans="1:19" x14ac:dyDescent="0.25">
      <c r="A99" s="1" t="s">
        <v>126</v>
      </c>
      <c r="B99" s="9" t="s">
        <v>78</v>
      </c>
      <c r="C99" s="1" t="str">
        <f>VLOOKUP(B99,'[1]Tabla Clientes'!$A:$G,2,0)</f>
        <v>Alexander</v>
      </c>
      <c r="D99" s="1" t="str">
        <f>VLOOKUP(B99,'[1]Tabla Clientes'!$A:$G,3,0)</f>
        <v>Barrera</v>
      </c>
      <c r="E99" s="1" t="s">
        <v>36</v>
      </c>
      <c r="F99" s="1" t="s">
        <v>32</v>
      </c>
      <c r="G99" s="1" t="s">
        <v>35</v>
      </c>
      <c r="H99" s="1" t="s">
        <v>79</v>
      </c>
      <c r="I99" s="1" t="s">
        <v>37</v>
      </c>
      <c r="J99" s="1" t="s">
        <v>35</v>
      </c>
      <c r="K99" s="1">
        <v>1</v>
      </c>
      <c r="L99" s="5">
        <v>45261</v>
      </c>
      <c r="M99" s="5">
        <v>45261</v>
      </c>
      <c r="N99" s="1">
        <v>2023</v>
      </c>
      <c r="O99" s="1" t="s">
        <v>85</v>
      </c>
      <c r="P99" s="4">
        <v>1</v>
      </c>
      <c r="Q99" s="1" t="s">
        <v>75</v>
      </c>
      <c r="R99" s="1" t="s">
        <v>77</v>
      </c>
      <c r="S99" s="1" t="s">
        <v>35</v>
      </c>
    </row>
    <row r="100" spans="1:19" x14ac:dyDescent="0.25">
      <c r="A100" s="1" t="s">
        <v>123</v>
      </c>
      <c r="B100" s="9" t="s">
        <v>155</v>
      </c>
      <c r="C100" s="1" t="str">
        <f>VLOOKUP(B100,'[1]Tabla Clientes'!$A:$G,2,0)</f>
        <v>Maicol</v>
      </c>
      <c r="D100" s="1" t="str">
        <f>VLOOKUP(B100,'[1]Tabla Clientes'!$A:$G,3,0)</f>
        <v>Jodman</v>
      </c>
      <c r="E100" s="1" t="s">
        <v>36</v>
      </c>
      <c r="F100" s="1" t="s">
        <v>32</v>
      </c>
      <c r="G100" s="1" t="s">
        <v>35</v>
      </c>
      <c r="H100" s="1" t="s">
        <v>109</v>
      </c>
      <c r="I100" s="1" t="s">
        <v>37</v>
      </c>
      <c r="J100" s="1" t="s">
        <v>35</v>
      </c>
      <c r="K100" s="1">
        <v>1</v>
      </c>
      <c r="L100" s="5">
        <v>45231</v>
      </c>
      <c r="M100" s="5">
        <v>45231</v>
      </c>
      <c r="N100" s="1">
        <v>2023</v>
      </c>
      <c r="O100" s="1" t="s">
        <v>86</v>
      </c>
      <c r="P100" s="1">
        <v>1</v>
      </c>
      <c r="Q100" s="1" t="s">
        <v>73</v>
      </c>
      <c r="R100" s="1" t="s">
        <v>77</v>
      </c>
      <c r="S100" s="1" t="s">
        <v>35</v>
      </c>
    </row>
    <row r="101" spans="1:19" x14ac:dyDescent="0.25">
      <c r="A101" s="1" t="s">
        <v>124</v>
      </c>
      <c r="B101" s="9" t="s">
        <v>59</v>
      </c>
      <c r="C101" s="1" t="str">
        <f>VLOOKUP(B101,'[1]Tabla Clientes'!$A:$G,2,0)</f>
        <v>Mario</v>
      </c>
      <c r="D101" s="1" t="str">
        <f>VLOOKUP(B101,'[1]Tabla Clientes'!$A:$G,3,0)</f>
        <v>Zuluaga</v>
      </c>
      <c r="E101" s="1" t="s">
        <v>36</v>
      </c>
      <c r="F101" s="1" t="s">
        <v>32</v>
      </c>
      <c r="G101" s="1" t="s">
        <v>35</v>
      </c>
      <c r="H101" s="1" t="s">
        <v>60</v>
      </c>
      <c r="I101" s="1" t="s">
        <v>37</v>
      </c>
      <c r="J101" s="1" t="s">
        <v>35</v>
      </c>
      <c r="K101" s="1">
        <v>1</v>
      </c>
      <c r="L101" s="5">
        <v>45231</v>
      </c>
      <c r="M101" s="5">
        <v>45231</v>
      </c>
      <c r="N101" s="3" t="s">
        <v>150</v>
      </c>
      <c r="O101" s="1" t="s">
        <v>86</v>
      </c>
      <c r="P101" s="4">
        <v>1</v>
      </c>
      <c r="Q101" s="1" t="s">
        <v>74</v>
      </c>
      <c r="R101" s="1" t="s">
        <v>77</v>
      </c>
      <c r="S101" s="1" t="s">
        <v>35</v>
      </c>
    </row>
    <row r="102" spans="1:19" x14ac:dyDescent="0.25">
      <c r="A102" s="1" t="s">
        <v>122</v>
      </c>
      <c r="B102" s="9" t="s">
        <v>88</v>
      </c>
      <c r="C102" s="1" t="str">
        <f>VLOOKUP(B102,'[1]Tabla Clientes'!$A:$G,2,0)</f>
        <v xml:space="preserve">Oscar </v>
      </c>
      <c r="D102" s="1" t="str">
        <f>VLOOKUP(B102,'[1]Tabla Clientes'!$A:$G,3,0)</f>
        <v>Leonardo</v>
      </c>
      <c r="E102" s="1" t="s">
        <v>36</v>
      </c>
      <c r="F102" s="1" t="s">
        <v>32</v>
      </c>
      <c r="G102" s="1" t="s">
        <v>35</v>
      </c>
      <c r="H102" s="1" t="s">
        <v>94</v>
      </c>
      <c r="I102" s="1" t="s">
        <v>37</v>
      </c>
      <c r="J102" s="1" t="s">
        <v>35</v>
      </c>
      <c r="K102" s="1">
        <v>1</v>
      </c>
      <c r="L102" s="5">
        <v>45200</v>
      </c>
      <c r="M102" s="5">
        <v>45200</v>
      </c>
      <c r="N102" s="1">
        <v>2023</v>
      </c>
      <c r="O102" s="1" t="s">
        <v>70</v>
      </c>
      <c r="P102" s="4">
        <v>1</v>
      </c>
      <c r="Q102" s="1" t="s">
        <v>75</v>
      </c>
      <c r="R102" s="1" t="s">
        <v>77</v>
      </c>
      <c r="S102" s="1" t="s">
        <v>35</v>
      </c>
    </row>
    <row r="103" spans="1:19" x14ac:dyDescent="0.25">
      <c r="A103" s="1" t="s">
        <v>120</v>
      </c>
      <c r="B103" s="9">
        <v>187</v>
      </c>
      <c r="C103" s="1" t="s">
        <v>169</v>
      </c>
      <c r="D103" s="1">
        <v>0</v>
      </c>
      <c r="E103" s="1" t="s">
        <v>36</v>
      </c>
      <c r="F103" s="1" t="s">
        <v>32</v>
      </c>
      <c r="G103" s="1" t="s">
        <v>35</v>
      </c>
      <c r="H103" s="1" t="s">
        <v>169</v>
      </c>
      <c r="I103" s="1" t="s">
        <v>37</v>
      </c>
      <c r="J103" s="1" t="s">
        <v>35</v>
      </c>
      <c r="K103" s="1">
        <v>3</v>
      </c>
      <c r="L103" s="5">
        <v>45108</v>
      </c>
      <c r="M103" s="5">
        <v>45108</v>
      </c>
      <c r="N103" s="1">
        <v>2023</v>
      </c>
      <c r="O103" s="1" t="s">
        <v>26</v>
      </c>
      <c r="P103" s="1">
        <v>1</v>
      </c>
      <c r="Q103" s="1" t="s">
        <v>74</v>
      </c>
      <c r="R103" s="1" t="s">
        <v>77</v>
      </c>
      <c r="S103" s="1" t="s">
        <v>46</v>
      </c>
    </row>
    <row r="104" spans="1:19" x14ac:dyDescent="0.25">
      <c r="A104" s="1" t="s">
        <v>121</v>
      </c>
      <c r="B104" s="9" t="s">
        <v>101</v>
      </c>
      <c r="C104" s="1" t="str">
        <f>VLOOKUP(B104,'[1]Tabla Clientes'!$A:$G,2,0)</f>
        <v>Hoover</v>
      </c>
      <c r="D104" s="1" t="str">
        <f>VLOOKUP(B104,'[1]Tabla Clientes'!$A:$G,3,0)</f>
        <v>Chamorro</v>
      </c>
      <c r="E104" s="1" t="s">
        <v>4</v>
      </c>
      <c r="F104" s="1" t="s">
        <v>11</v>
      </c>
      <c r="G104" s="1" t="s">
        <v>35</v>
      </c>
      <c r="H104" s="1" t="s">
        <v>107</v>
      </c>
      <c r="I104" s="1" t="s">
        <v>37</v>
      </c>
      <c r="J104" s="1" t="s">
        <v>35</v>
      </c>
      <c r="K104" s="1">
        <v>1</v>
      </c>
      <c r="L104" s="5">
        <v>45108</v>
      </c>
      <c r="M104" s="5">
        <v>45108</v>
      </c>
      <c r="N104" s="1">
        <v>2023</v>
      </c>
      <c r="O104" s="1" t="s">
        <v>26</v>
      </c>
      <c r="P104" s="1">
        <v>1</v>
      </c>
      <c r="Q104" s="1" t="s">
        <v>74</v>
      </c>
      <c r="R104" s="1" t="s">
        <v>77</v>
      </c>
      <c r="S104" s="1" t="s">
        <v>35</v>
      </c>
    </row>
    <row r="105" spans="1:19" x14ac:dyDescent="0.25">
      <c r="A105" s="1" t="s">
        <v>119</v>
      </c>
      <c r="B105" s="9" t="s">
        <v>66</v>
      </c>
      <c r="C105" s="1" t="str">
        <f>VLOOKUP(B105,'[1]Tabla Clientes'!$A:$G,2,0)</f>
        <v>Sandra</v>
      </c>
      <c r="D105" s="1" t="str">
        <f>VLOOKUP(B105,'[1]Tabla Clientes'!$A:$G,3,0)</f>
        <v>Rincon</v>
      </c>
      <c r="E105" s="1" t="s">
        <v>4</v>
      </c>
      <c r="F105" s="1" t="s">
        <v>11</v>
      </c>
      <c r="G105" s="1" t="s">
        <v>35</v>
      </c>
      <c r="H105" s="1" t="s">
        <v>84</v>
      </c>
      <c r="I105" s="1" t="s">
        <v>37</v>
      </c>
      <c r="J105" s="1" t="s">
        <v>35</v>
      </c>
      <c r="K105" s="1">
        <v>1</v>
      </c>
      <c r="L105" s="5">
        <v>45078</v>
      </c>
      <c r="M105" s="5">
        <v>45078</v>
      </c>
      <c r="N105" s="1">
        <v>2023</v>
      </c>
      <c r="O105" s="1" t="s">
        <v>25</v>
      </c>
      <c r="P105" s="4">
        <v>1</v>
      </c>
      <c r="Q105" s="1" t="s">
        <v>75</v>
      </c>
      <c r="R105" s="1" t="s">
        <v>77</v>
      </c>
      <c r="S105" s="1" t="s">
        <v>35</v>
      </c>
    </row>
    <row r="106" spans="1:19" x14ac:dyDescent="0.25">
      <c r="A106" s="1" t="s">
        <v>118</v>
      </c>
      <c r="B106" s="9" t="s">
        <v>90</v>
      </c>
      <c r="C106" s="1" t="str">
        <f>VLOOKUP(B106,'[1]Tabla Clientes'!$A:$G,2,0)</f>
        <v>Rodrigo</v>
      </c>
      <c r="D106" s="1" t="str">
        <f>VLOOKUP(B106,'[1]Tabla Clientes'!$A:$G,3,0)</f>
        <v>Ruiz</v>
      </c>
      <c r="E106" s="1" t="s">
        <v>4</v>
      </c>
      <c r="F106" s="1" t="s">
        <v>11</v>
      </c>
      <c r="G106" s="1" t="s">
        <v>35</v>
      </c>
      <c r="H106" s="1" t="s">
        <v>110</v>
      </c>
      <c r="I106" s="1" t="s">
        <v>37</v>
      </c>
      <c r="J106" s="1" t="s">
        <v>35</v>
      </c>
      <c r="K106" s="1">
        <v>1</v>
      </c>
      <c r="L106" s="5">
        <v>44986</v>
      </c>
      <c r="M106" s="5">
        <v>44986</v>
      </c>
      <c r="N106" s="1">
        <v>2023</v>
      </c>
      <c r="O106" s="1" t="s">
        <v>22</v>
      </c>
      <c r="P106" s="1">
        <v>1</v>
      </c>
      <c r="Q106" s="1" t="s">
        <v>74</v>
      </c>
      <c r="R106" s="1" t="s">
        <v>77</v>
      </c>
      <c r="S106" s="1" t="s">
        <v>35</v>
      </c>
    </row>
    <row r="107" spans="1:19" x14ac:dyDescent="0.25">
      <c r="A107" s="1" t="s">
        <v>117</v>
      </c>
      <c r="B107" s="9" t="s">
        <v>98</v>
      </c>
      <c r="C107" s="1" t="str">
        <f>VLOOKUP(B107,'[1]Tabla Clientes'!$A:$G,2,0)</f>
        <v>Camilo Andres</v>
      </c>
      <c r="D107" s="1" t="str">
        <f>VLOOKUP(B107,'[1]Tabla Clientes'!$A:$G,3,0)</f>
        <v>Torres</v>
      </c>
      <c r="E107" s="1" t="s">
        <v>36</v>
      </c>
      <c r="F107" s="1" t="s">
        <v>32</v>
      </c>
      <c r="G107" s="1" t="s">
        <v>35</v>
      </c>
      <c r="H107" s="1" t="s">
        <v>103</v>
      </c>
      <c r="I107" s="1" t="s">
        <v>37</v>
      </c>
      <c r="J107" s="1" t="s">
        <v>35</v>
      </c>
      <c r="K107" s="1">
        <v>1</v>
      </c>
      <c r="L107" s="5">
        <v>44927</v>
      </c>
      <c r="M107" s="5">
        <v>44927</v>
      </c>
      <c r="N107" s="1">
        <v>2023</v>
      </c>
      <c r="O107" s="1" t="s">
        <v>16</v>
      </c>
      <c r="P107" s="1">
        <v>1</v>
      </c>
      <c r="Q107" s="1" t="s">
        <v>75</v>
      </c>
      <c r="R107" s="1" t="s">
        <v>77</v>
      </c>
      <c r="S107" s="1" t="s">
        <v>35</v>
      </c>
    </row>
    <row r="108" spans="1:19" x14ac:dyDescent="0.25">
      <c r="A108" s="1" t="s">
        <v>241</v>
      </c>
      <c r="B108" s="9" t="s">
        <v>102</v>
      </c>
      <c r="C108" s="1" t="str">
        <f>VLOOKUP(B108,'[1]Tabla Clientes'!$A:$G,2,0)</f>
        <v>Jacobo</v>
      </c>
      <c r="D108" s="1" t="str">
        <f>VLOOKUP(B108,'[1]Tabla Clientes'!$A:$G,3,0)</f>
        <v>Willy</v>
      </c>
      <c r="E108" s="1" t="s">
        <v>4</v>
      </c>
      <c r="F108" s="1" t="s">
        <v>11</v>
      </c>
      <c r="G108" s="1" t="s">
        <v>35</v>
      </c>
      <c r="H108" s="1" t="s">
        <v>108</v>
      </c>
      <c r="I108" s="1" t="s">
        <v>37</v>
      </c>
      <c r="J108" s="1" t="s">
        <v>35</v>
      </c>
      <c r="K108" s="1">
        <v>1</v>
      </c>
      <c r="L108" s="5">
        <v>44927</v>
      </c>
      <c r="M108" s="5">
        <v>44927</v>
      </c>
      <c r="N108" s="1">
        <v>2023</v>
      </c>
      <c r="O108" s="1" t="s">
        <v>16</v>
      </c>
      <c r="P108" s="1">
        <v>1</v>
      </c>
      <c r="Q108" s="1" t="s">
        <v>75</v>
      </c>
      <c r="R108" s="1" t="s">
        <v>77</v>
      </c>
      <c r="S108" s="1" t="s">
        <v>35</v>
      </c>
    </row>
    <row r="109" spans="1:19" x14ac:dyDescent="0.25">
      <c r="A109" s="1" t="s">
        <v>116</v>
      </c>
      <c r="B109" s="9" t="s">
        <v>99</v>
      </c>
      <c r="C109" s="1" t="str">
        <f>VLOOKUP(B109,'[1]Tabla Clientes'!$A:$G,2,0)</f>
        <v>Carlos</v>
      </c>
      <c r="D109" s="1" t="str">
        <f>VLOOKUP(B109,'[1]Tabla Clientes'!$A:$G,3,0)</f>
        <v>Galindo</v>
      </c>
      <c r="E109" s="1" t="s">
        <v>4</v>
      </c>
      <c r="F109" s="1" t="s">
        <v>11</v>
      </c>
      <c r="G109" s="1" t="s">
        <v>35</v>
      </c>
      <c r="H109" s="1" t="s">
        <v>104</v>
      </c>
      <c r="I109" s="1" t="s">
        <v>37</v>
      </c>
      <c r="J109" s="1" t="s">
        <v>35</v>
      </c>
      <c r="K109" s="1">
        <v>1</v>
      </c>
      <c r="L109" s="5">
        <v>44896</v>
      </c>
      <c r="M109" s="5">
        <v>44896</v>
      </c>
      <c r="N109" s="1">
        <v>2022</v>
      </c>
      <c r="O109" s="1" t="s">
        <v>85</v>
      </c>
      <c r="P109" s="1">
        <v>1</v>
      </c>
      <c r="Q109" s="1" t="s">
        <v>75</v>
      </c>
      <c r="R109" s="1" t="s">
        <v>77</v>
      </c>
      <c r="S109" s="1" t="s">
        <v>35</v>
      </c>
    </row>
    <row r="110" spans="1:19" x14ac:dyDescent="0.25">
      <c r="A110" s="1" t="s">
        <v>115</v>
      </c>
      <c r="B110" s="9" t="s">
        <v>154</v>
      </c>
      <c r="C110" s="1" t="str">
        <f>VLOOKUP(B110,'[1]Tabla Clientes'!$A:$G,2,0)</f>
        <v>Papa</v>
      </c>
      <c r="D110" s="1" t="str">
        <f>VLOOKUP(B110,'[1]Tabla Clientes'!$A:$G,3,0)</f>
        <v>Casallas</v>
      </c>
      <c r="E110" s="1" t="s">
        <v>36</v>
      </c>
      <c r="F110" s="1" t="s">
        <v>32</v>
      </c>
      <c r="G110" s="1" t="s">
        <v>35</v>
      </c>
      <c r="H110" s="1" t="s">
        <v>106</v>
      </c>
      <c r="I110" s="1" t="s">
        <v>37</v>
      </c>
      <c r="J110" s="1" t="s">
        <v>35</v>
      </c>
      <c r="K110" s="1">
        <v>1</v>
      </c>
      <c r="L110" s="5">
        <v>44835</v>
      </c>
      <c r="M110" s="5">
        <v>44835</v>
      </c>
      <c r="N110" s="1">
        <v>2022</v>
      </c>
      <c r="O110" s="1" t="s">
        <v>70</v>
      </c>
      <c r="P110" s="1">
        <v>1</v>
      </c>
      <c r="Q110" s="1" t="s">
        <v>75</v>
      </c>
      <c r="R110" s="1" t="s">
        <v>77</v>
      </c>
      <c r="S110" s="1" t="s">
        <v>35</v>
      </c>
    </row>
    <row r="111" spans="1:19" x14ac:dyDescent="0.25">
      <c r="A111" s="1" t="s">
        <v>225</v>
      </c>
      <c r="B111" s="9" t="s">
        <v>67</v>
      </c>
      <c r="C111" s="1" t="str">
        <f>VLOOKUP(B111,'[1]Tabla Clientes'!$A:$G,2,0)</f>
        <v>William</v>
      </c>
      <c r="D111" s="1" t="str">
        <f>VLOOKUP(B111,'[1]Tabla Clientes'!$A:$G,3,0)</f>
        <v>Guzman</v>
      </c>
      <c r="E111" s="1" t="s">
        <v>4</v>
      </c>
      <c r="F111" s="1" t="s">
        <v>11</v>
      </c>
      <c r="G111" s="1" t="s">
        <v>35</v>
      </c>
      <c r="H111" s="1" t="s">
        <v>111</v>
      </c>
      <c r="I111" s="1" t="s">
        <v>37</v>
      </c>
      <c r="J111" s="1" t="s">
        <v>35</v>
      </c>
      <c r="K111" s="1">
        <v>1</v>
      </c>
      <c r="L111" s="5">
        <v>44805</v>
      </c>
      <c r="M111" s="5">
        <v>44805</v>
      </c>
      <c r="N111" s="1">
        <v>2022</v>
      </c>
      <c r="O111" s="1" t="s">
        <v>28</v>
      </c>
      <c r="P111" s="1">
        <v>1</v>
      </c>
      <c r="Q111" s="1" t="s">
        <v>75</v>
      </c>
      <c r="R111" s="1" t="s">
        <v>77</v>
      </c>
      <c r="S111" s="1" t="s">
        <v>35</v>
      </c>
    </row>
    <row r="112" spans="1:19" x14ac:dyDescent="0.25">
      <c r="A112" s="1" t="s">
        <v>114</v>
      </c>
      <c r="B112" s="9" t="s">
        <v>100</v>
      </c>
      <c r="C112" s="1" t="str">
        <f>VLOOKUP(B112,'[1]Tabla Clientes'!$A:$G,2,0)</f>
        <v>Davinson</v>
      </c>
      <c r="D112" s="1">
        <v>0</v>
      </c>
      <c r="E112" s="1" t="s">
        <v>36</v>
      </c>
      <c r="F112" s="1" t="s">
        <v>32</v>
      </c>
      <c r="G112" s="1" t="s">
        <v>35</v>
      </c>
      <c r="H112" s="1" t="s">
        <v>105</v>
      </c>
      <c r="I112" s="1" t="s">
        <v>37</v>
      </c>
      <c r="J112" s="1" t="s">
        <v>35</v>
      </c>
      <c r="K112" s="1">
        <v>1</v>
      </c>
      <c r="L112" s="5">
        <v>44774</v>
      </c>
      <c r="M112" s="5">
        <v>44774</v>
      </c>
      <c r="N112" s="1">
        <v>2022</v>
      </c>
      <c r="O112" s="1" t="s">
        <v>27</v>
      </c>
      <c r="P112" s="1">
        <v>1</v>
      </c>
      <c r="Q112" s="1" t="s">
        <v>75</v>
      </c>
      <c r="R112" s="1" t="s">
        <v>77</v>
      </c>
      <c r="S112" s="1" t="s">
        <v>35</v>
      </c>
    </row>
  </sheetData>
  <autoFilter ref="A1:S112" xr:uid="{00000000-0001-0000-0000-000000000000}">
    <sortState xmlns:xlrd2="http://schemas.microsoft.com/office/spreadsheetml/2017/richdata2" ref="A2:S112">
      <sortCondition descending="1" ref="L1:L112"/>
    </sortState>
  </autoFilter>
  <phoneticPr fontId="5" type="noConversion"/>
  <conditionalFormatting sqref="A1:A1048576">
    <cfRule type="duplicateValues" dxfId="4" priority="1"/>
    <cfRule type="duplicateValues" dxfId="3" priority="5"/>
  </conditionalFormatting>
  <conditionalFormatting sqref="B1:B1048576">
    <cfRule type="duplicateValues" dxfId="2" priority="4"/>
  </conditionalFormatting>
  <conditionalFormatting sqref="H1:H1048576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56D793D67F3A4AB4D20CB959B266D0" ma:contentTypeVersion="4" ma:contentTypeDescription="Crear nuevo documento." ma:contentTypeScope="" ma:versionID="611cbbdf845c335450ec9b7cdf8f72d0">
  <xsd:schema xmlns:xsd="http://www.w3.org/2001/XMLSchema" xmlns:xs="http://www.w3.org/2001/XMLSchema" xmlns:p="http://schemas.microsoft.com/office/2006/metadata/properties" xmlns:ns2="e60ade56-7937-4eb3-b7cb-7c910e6c4f1d" targetNamespace="http://schemas.microsoft.com/office/2006/metadata/properties" ma:root="true" ma:fieldsID="5075560efe3ecab5a63ed19ae1c721bf" ns2:_="">
    <xsd:import namespace="e60ade56-7937-4eb3-b7cb-7c910e6c4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ade56-7937-4eb3-b7cb-7c910e6c4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20D2E1-3CDC-4AD2-B2DF-A7E51DB887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60E9175-1327-4F7D-BD6D-90BBD3E8F8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0ade56-7937-4eb3-b7cb-7c910e6c4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DE0541-9D3F-44E5-A2AC-C233CCF331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BajaLic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Escobar Diaz</cp:lastModifiedBy>
  <dcterms:created xsi:type="dcterms:W3CDTF">2019-06-27T11:44:07Z</dcterms:created>
  <dcterms:modified xsi:type="dcterms:W3CDTF">2026-06-01T03:22:56Z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0x010100A456D793D67F3A4AB4D20CB959B266D0</vt:lpwstr>
  </property>
</Properties>
</file>