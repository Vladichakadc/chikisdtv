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056fcf46f041d/Documentos/Curso POWER BI/Ejecicio Final/Tablas/"/>
    </mc:Choice>
  </mc:AlternateContent>
  <xr:revisionPtr revIDLastSave="3" documentId="8_{330F821E-5BC4-4C4B-AA59-4243A0861347}" xr6:coauthVersionLast="47" xr6:coauthVersionMax="47" xr10:uidLastSave="{F5C64A8D-97B8-418F-B596-3D3F50785F6C}"/>
  <bookViews>
    <workbookView xWindow="-120" yWindow="-120" windowWidth="20730" windowHeight="11040" xr2:uid="{3F0D3618-681C-4DEB-A797-B70C1CF040BA}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Inventario!$A$1:$V$152</definedName>
    <definedName name="ActualBeyond">PeriodInActual*([1]Planificador!$O1&gt;0)</definedName>
    <definedName name="PercentComplete">PercentCompleteBeyond*PeriodInPlan</definedName>
    <definedName name="PercentCompleteBeyond">([1]Planificador!#REF!=MEDIAN([1]Planificador!#REF!,[1]Planificador!$O1,[1]Planificador!$O1+[1]Planificador!$T1)*([1]Planificador!$O1&gt;0))*(([1]Planificador!#REF!&lt;(INT([1]Planificador!$O1+[1]Planificador!$T1*[1]Planificador!$U1)))+([1]Planificador!#REF!=[1]Planificador!$O1))*([1]Planificador!$U1&gt;0)</definedName>
    <definedName name="period_selected">[1]Planificador!#REF!</definedName>
    <definedName name="PeriodInActual">[1]Planificador!#REF!=MEDIAN([1]Planificador!#REF!,[1]Planificador!$O1,[1]Planificador!$O1+[1]Planificador!$T1-1)</definedName>
    <definedName name="PeriodInPlan">[1]Planificador!#REF!=MEDIAN([1]Planificador!#REF!,[1]Planificador!#REF!,[1]Planificador!#REF!+[1]Planificador!#REF!-1)</definedName>
    <definedName name="Plan">PeriodInPlan*([1]Planificador!#REF!&gt;0)</definedName>
    <definedName name="Real">(PeriodInActual*([1]Planificador!$O1&gt;0))*PeriodInPlan</definedName>
    <definedName name="TitleRegion..BO60">[1]Planificador!#REF!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3" i="1" l="1"/>
  <c r="K153" i="1" s="1"/>
  <c r="M153" i="1" s="1"/>
  <c r="N153" i="1" s="1"/>
  <c r="O153" i="1" s="1"/>
  <c r="V152" i="1"/>
  <c r="Q152" i="1"/>
  <c r="O152" i="1"/>
  <c r="M152" i="1"/>
  <c r="H152" i="1"/>
  <c r="G152" i="1"/>
  <c r="V151" i="1"/>
  <c r="Q151" i="1"/>
  <c r="O151" i="1"/>
  <c r="M151" i="1"/>
  <c r="H151" i="1"/>
  <c r="G151" i="1"/>
  <c r="V150" i="1"/>
  <c r="Q150" i="1"/>
  <c r="O150" i="1"/>
  <c r="M150" i="1"/>
  <c r="H150" i="1"/>
  <c r="G150" i="1"/>
  <c r="V149" i="1"/>
  <c r="Q149" i="1"/>
  <c r="O149" i="1"/>
  <c r="M149" i="1"/>
  <c r="H149" i="1"/>
  <c r="G149" i="1"/>
  <c r="V148" i="1"/>
  <c r="N148" i="1"/>
  <c r="Q148" i="1" s="1"/>
  <c r="V147" i="1"/>
  <c r="N147" i="1"/>
  <c r="O147" i="1" s="1"/>
  <c r="V146" i="1"/>
  <c r="O146" i="1"/>
  <c r="N146" i="1"/>
  <c r="Q146" i="1" s="1"/>
  <c r="V145" i="1"/>
  <c r="Q145" i="1"/>
  <c r="O145" i="1"/>
  <c r="N145" i="1"/>
  <c r="V144" i="1"/>
  <c r="O144" i="1"/>
  <c r="N144" i="1"/>
  <c r="Q144" i="1" s="1"/>
  <c r="V143" i="1"/>
  <c r="N143" i="1"/>
  <c r="O143" i="1" s="1"/>
  <c r="V142" i="1"/>
  <c r="N142" i="1"/>
  <c r="Q142" i="1" s="1"/>
  <c r="V141" i="1"/>
  <c r="N141" i="1"/>
  <c r="Q141" i="1" s="1"/>
  <c r="V140" i="1"/>
  <c r="N140" i="1"/>
  <c r="Q140" i="1" s="1"/>
  <c r="V139" i="1"/>
  <c r="N139" i="1"/>
  <c r="V138" i="1"/>
  <c r="O138" i="1"/>
  <c r="N138" i="1"/>
  <c r="Q138" i="1" s="1"/>
  <c r="V137" i="1"/>
  <c r="N137" i="1"/>
  <c r="Q137" i="1" s="1"/>
  <c r="V136" i="1"/>
  <c r="O136" i="1"/>
  <c r="N136" i="1"/>
  <c r="Q136" i="1" s="1"/>
  <c r="V135" i="1"/>
  <c r="N135" i="1"/>
  <c r="Q135" i="1" s="1"/>
  <c r="V134" i="1"/>
  <c r="O134" i="1"/>
  <c r="N134" i="1"/>
  <c r="Q134" i="1" s="1"/>
  <c r="V133" i="1"/>
  <c r="N133" i="1"/>
  <c r="Q133" i="1" s="1"/>
  <c r="V132" i="1"/>
  <c r="K132" i="1"/>
  <c r="I132" i="1"/>
  <c r="H132" i="1"/>
  <c r="V131" i="1"/>
  <c r="I131" i="1"/>
  <c r="H131" i="1"/>
  <c r="K131" i="1" s="1"/>
  <c r="V130" i="1"/>
  <c r="I130" i="1"/>
  <c r="H130" i="1"/>
  <c r="K130" i="1" s="1"/>
  <c r="M130" i="1" s="1"/>
  <c r="N130" i="1" s="1"/>
  <c r="V129" i="1"/>
  <c r="I129" i="1"/>
  <c r="H129" i="1"/>
  <c r="K129" i="1" s="1"/>
  <c r="V128" i="1"/>
  <c r="I128" i="1"/>
  <c r="H128" i="1"/>
  <c r="K128" i="1" s="1"/>
  <c r="M128" i="1" s="1"/>
  <c r="N128" i="1" s="1"/>
  <c r="V127" i="1"/>
  <c r="I127" i="1"/>
  <c r="H127" i="1"/>
  <c r="K127" i="1" s="1"/>
  <c r="V126" i="1"/>
  <c r="K126" i="1"/>
  <c r="I126" i="1"/>
  <c r="H126" i="1"/>
  <c r="V125" i="1"/>
  <c r="I125" i="1"/>
  <c r="H125" i="1"/>
  <c r="K125" i="1" s="1"/>
  <c r="V124" i="1"/>
  <c r="I124" i="1"/>
  <c r="H124" i="1"/>
  <c r="K124" i="1" s="1"/>
  <c r="V123" i="1"/>
  <c r="I123" i="1"/>
  <c r="H123" i="1"/>
  <c r="K123" i="1" s="1"/>
  <c r="V122" i="1"/>
  <c r="I122" i="1"/>
  <c r="H122" i="1"/>
  <c r="K122" i="1" s="1"/>
  <c r="V121" i="1"/>
  <c r="I121" i="1"/>
  <c r="H121" i="1"/>
  <c r="K121" i="1" s="1"/>
  <c r="M121" i="1" s="1"/>
  <c r="N121" i="1" s="1"/>
  <c r="H120" i="1"/>
  <c r="K120" i="1" s="1"/>
  <c r="M120" i="1" s="1"/>
  <c r="N120" i="1" s="1"/>
  <c r="H119" i="1"/>
  <c r="K119" i="1" s="1"/>
  <c r="M119" i="1" s="1"/>
  <c r="N119" i="1" s="1"/>
  <c r="K118" i="1"/>
  <c r="M118" i="1" s="1"/>
  <c r="N118" i="1" s="1"/>
  <c r="Q118" i="1" s="1"/>
  <c r="K117" i="1"/>
  <c r="M117" i="1" s="1"/>
  <c r="N117" i="1" s="1"/>
  <c r="K116" i="1"/>
  <c r="M116" i="1" s="1"/>
  <c r="N116" i="1" s="1"/>
  <c r="O116" i="1" s="1"/>
  <c r="K115" i="1"/>
  <c r="M115" i="1" s="1"/>
  <c r="N115" i="1" s="1"/>
  <c r="K114" i="1"/>
  <c r="M114" i="1" s="1"/>
  <c r="N114" i="1" s="1"/>
  <c r="M113" i="1"/>
  <c r="N113" i="1" s="1"/>
  <c r="Q113" i="1" s="1"/>
  <c r="K113" i="1"/>
  <c r="K112" i="1"/>
  <c r="M112" i="1" s="1"/>
  <c r="N112" i="1" s="1"/>
  <c r="K111" i="1"/>
  <c r="M111" i="1" s="1"/>
  <c r="N111" i="1" s="1"/>
  <c r="Q111" i="1" s="1"/>
  <c r="K110" i="1"/>
  <c r="M110" i="1" s="1"/>
  <c r="N110" i="1" s="1"/>
  <c r="K109" i="1"/>
  <c r="M109" i="1" s="1"/>
  <c r="N109" i="1" s="1"/>
  <c r="Q109" i="1" s="1"/>
  <c r="K108" i="1"/>
  <c r="M108" i="1" s="1"/>
  <c r="N108" i="1" s="1"/>
  <c r="K107" i="1"/>
  <c r="M107" i="1" s="1"/>
  <c r="N107" i="1" s="1"/>
  <c r="O107" i="1" s="1"/>
  <c r="K106" i="1"/>
  <c r="M106" i="1" s="1"/>
  <c r="N106" i="1" s="1"/>
  <c r="K105" i="1"/>
  <c r="M105" i="1" s="1"/>
  <c r="N105" i="1" s="1"/>
  <c r="K104" i="1"/>
  <c r="M104" i="1" s="1"/>
  <c r="N104" i="1" s="1"/>
  <c r="Q104" i="1" s="1"/>
  <c r="K103" i="1"/>
  <c r="M103" i="1" s="1"/>
  <c r="N103" i="1" s="1"/>
  <c r="K102" i="1"/>
  <c r="M102" i="1" s="1"/>
  <c r="N102" i="1" s="1"/>
  <c r="Q102" i="1" s="1"/>
  <c r="K101" i="1"/>
  <c r="M101" i="1" s="1"/>
  <c r="N101" i="1" s="1"/>
  <c r="Q100" i="1"/>
  <c r="K100" i="1"/>
  <c r="M100" i="1" s="1"/>
  <c r="N100" i="1" s="1"/>
  <c r="O100" i="1" s="1"/>
  <c r="K99" i="1"/>
  <c r="M99" i="1" s="1"/>
  <c r="N99" i="1" s="1"/>
  <c r="K98" i="1"/>
  <c r="M98" i="1" s="1"/>
  <c r="N98" i="1" s="1"/>
  <c r="K97" i="1"/>
  <c r="M97" i="1" s="1"/>
  <c r="N97" i="1" s="1"/>
  <c r="K96" i="1"/>
  <c r="M96" i="1" s="1"/>
  <c r="N96" i="1" s="1"/>
  <c r="K95" i="1"/>
  <c r="M95" i="1" s="1"/>
  <c r="N95" i="1" s="1"/>
  <c r="Q95" i="1" s="1"/>
  <c r="K94" i="1"/>
  <c r="M94" i="1" s="1"/>
  <c r="N94" i="1" s="1"/>
  <c r="O93" i="1"/>
  <c r="K93" i="1"/>
  <c r="M93" i="1" s="1"/>
  <c r="N93" i="1" s="1"/>
  <c r="Q93" i="1" s="1"/>
  <c r="N92" i="1"/>
  <c r="K92" i="1"/>
  <c r="M92" i="1" s="1"/>
  <c r="K91" i="1"/>
  <c r="M91" i="1" s="1"/>
  <c r="N91" i="1" s="1"/>
  <c r="O91" i="1" s="1"/>
  <c r="K90" i="1"/>
  <c r="M90" i="1" s="1"/>
  <c r="N90" i="1" s="1"/>
  <c r="K89" i="1"/>
  <c r="M89" i="1" s="1"/>
  <c r="N89" i="1" s="1"/>
  <c r="V88" i="1"/>
  <c r="K88" i="1"/>
  <c r="M88" i="1" s="1"/>
  <c r="N88" i="1" s="1"/>
  <c r="Q88" i="1" s="1"/>
  <c r="V87" i="1"/>
  <c r="K87" i="1"/>
  <c r="M87" i="1" s="1"/>
  <c r="N87" i="1" s="1"/>
  <c r="V86" i="1"/>
  <c r="K86" i="1"/>
  <c r="M86" i="1" s="1"/>
  <c r="N86" i="1" s="1"/>
  <c r="K85" i="1"/>
  <c r="M85" i="1" s="1"/>
  <c r="N85" i="1" s="1"/>
  <c r="K84" i="1"/>
  <c r="M84" i="1" s="1"/>
  <c r="N84" i="1" s="1"/>
  <c r="K83" i="1"/>
  <c r="M83" i="1" s="1"/>
  <c r="N83" i="1" s="1"/>
  <c r="O83" i="1" s="1"/>
  <c r="K82" i="1"/>
  <c r="M82" i="1" s="1"/>
  <c r="N82" i="1" s="1"/>
  <c r="V81" i="1"/>
  <c r="K81" i="1"/>
  <c r="M81" i="1" s="1"/>
  <c r="N81" i="1" s="1"/>
  <c r="K80" i="1"/>
  <c r="M80" i="1" s="1"/>
  <c r="N80" i="1" s="1"/>
  <c r="Q80" i="1" s="1"/>
  <c r="K79" i="1"/>
  <c r="M79" i="1" s="1"/>
  <c r="N79" i="1" s="1"/>
  <c r="K78" i="1"/>
  <c r="M78" i="1" s="1"/>
  <c r="N78" i="1" s="1"/>
  <c r="K77" i="1"/>
  <c r="M77" i="1" s="1"/>
  <c r="N77" i="1" s="1"/>
  <c r="V76" i="1"/>
  <c r="K76" i="1"/>
  <c r="M76" i="1" s="1"/>
  <c r="N76" i="1" s="1"/>
  <c r="O76" i="1" s="1"/>
  <c r="K75" i="1"/>
  <c r="M75" i="1" s="1"/>
  <c r="N75" i="1" s="1"/>
  <c r="K74" i="1"/>
  <c r="M74" i="1" s="1"/>
  <c r="N74" i="1" s="1"/>
  <c r="V73" i="1"/>
  <c r="K73" i="1"/>
  <c r="I73" i="1"/>
  <c r="V72" i="1"/>
  <c r="K72" i="1"/>
  <c r="I72" i="1"/>
  <c r="V71" i="1"/>
  <c r="K71" i="1"/>
  <c r="M71" i="1" s="1"/>
  <c r="N71" i="1" s="1"/>
  <c r="V70" i="1"/>
  <c r="K70" i="1"/>
  <c r="M70" i="1" s="1"/>
  <c r="N70" i="1" s="1"/>
  <c r="V69" i="1"/>
  <c r="M69" i="1"/>
  <c r="N69" i="1" s="1"/>
  <c r="Q69" i="1" s="1"/>
  <c r="K69" i="1"/>
  <c r="V68" i="1"/>
  <c r="K68" i="1"/>
  <c r="M68" i="1" s="1"/>
  <c r="N68" i="1" s="1"/>
  <c r="V67" i="1"/>
  <c r="K67" i="1"/>
  <c r="M67" i="1" s="1"/>
  <c r="N67" i="1" s="1"/>
  <c r="V66" i="1"/>
  <c r="K66" i="1"/>
  <c r="M66" i="1" s="1"/>
  <c r="N66" i="1" s="1"/>
  <c r="V65" i="1"/>
  <c r="Q65" i="1"/>
  <c r="O65" i="1"/>
  <c r="K65" i="1"/>
  <c r="I65" i="1"/>
  <c r="V64" i="1"/>
  <c r="K64" i="1"/>
  <c r="I64" i="1"/>
  <c r="V63" i="1"/>
  <c r="K63" i="1"/>
  <c r="I63" i="1"/>
  <c r="V62" i="1"/>
  <c r="N62" i="1"/>
  <c r="Q62" i="1" s="1"/>
  <c r="K62" i="1"/>
  <c r="V61" i="1"/>
  <c r="N61" i="1"/>
  <c r="Q61" i="1" s="1"/>
  <c r="K61" i="1"/>
  <c r="V60" i="1"/>
  <c r="K60" i="1"/>
  <c r="I60" i="1"/>
  <c r="V59" i="1"/>
  <c r="K59" i="1"/>
  <c r="I59" i="1"/>
  <c r="V58" i="1"/>
  <c r="K58" i="1"/>
  <c r="I58" i="1"/>
  <c r="V57" i="1"/>
  <c r="M57" i="1"/>
  <c r="N57" i="1" s="1"/>
  <c r="K57" i="1"/>
  <c r="I57" i="1"/>
  <c r="V56" i="1"/>
  <c r="K56" i="1"/>
  <c r="I56" i="1"/>
  <c r="V55" i="1"/>
  <c r="K55" i="1"/>
  <c r="I55" i="1"/>
  <c r="V54" i="1"/>
  <c r="K54" i="1"/>
  <c r="M54" i="1" s="1"/>
  <c r="N54" i="1" s="1"/>
  <c r="V53" i="1"/>
  <c r="K53" i="1"/>
  <c r="M53" i="1" s="1"/>
  <c r="N53" i="1" s="1"/>
  <c r="V52" i="1"/>
  <c r="K52" i="1"/>
  <c r="M52" i="1" s="1"/>
  <c r="N52" i="1" s="1"/>
  <c r="V51" i="1"/>
  <c r="M51" i="1"/>
  <c r="N51" i="1" s="1"/>
  <c r="Q51" i="1" s="1"/>
  <c r="K51" i="1"/>
  <c r="V50" i="1"/>
  <c r="L50" i="1"/>
  <c r="K50" i="1"/>
  <c r="V49" i="1"/>
  <c r="L49" i="1"/>
  <c r="M49" i="1" s="1"/>
  <c r="N49" i="1" s="1"/>
  <c r="K49" i="1"/>
  <c r="V48" i="1"/>
  <c r="L48" i="1"/>
  <c r="M48" i="1" s="1"/>
  <c r="N48" i="1" s="1"/>
  <c r="K48" i="1"/>
  <c r="V47" i="1"/>
  <c r="L47" i="1"/>
  <c r="K47" i="1"/>
  <c r="V46" i="1"/>
  <c r="L46" i="1"/>
  <c r="K46" i="1"/>
  <c r="V45" i="1"/>
  <c r="L45" i="1"/>
  <c r="K45" i="1"/>
  <c r="V44" i="1"/>
  <c r="L44" i="1"/>
  <c r="M44" i="1" s="1"/>
  <c r="N44" i="1" s="1"/>
  <c r="Q44" i="1" s="1"/>
  <c r="K44" i="1"/>
  <c r="V43" i="1"/>
  <c r="M43" i="1"/>
  <c r="N43" i="1" s="1"/>
  <c r="L43" i="1"/>
  <c r="K43" i="1"/>
  <c r="V42" i="1"/>
  <c r="L42" i="1"/>
  <c r="K42" i="1"/>
  <c r="V41" i="1"/>
  <c r="L41" i="1"/>
  <c r="K41" i="1"/>
  <c r="V40" i="1"/>
  <c r="L40" i="1"/>
  <c r="K40" i="1"/>
  <c r="V39" i="1"/>
  <c r="L39" i="1"/>
  <c r="M39" i="1" s="1"/>
  <c r="N39" i="1" s="1"/>
  <c r="O39" i="1" s="1"/>
  <c r="K39" i="1"/>
  <c r="V38" i="1"/>
  <c r="K38" i="1"/>
  <c r="I38" i="1"/>
  <c r="V37" i="1"/>
  <c r="K37" i="1"/>
  <c r="I37" i="1"/>
  <c r="V36" i="1"/>
  <c r="K36" i="1"/>
  <c r="M36" i="1" s="1"/>
  <c r="N36" i="1" s="1"/>
  <c r="Q36" i="1" s="1"/>
  <c r="I36" i="1"/>
  <c r="V35" i="1"/>
  <c r="K35" i="1"/>
  <c r="I35" i="1"/>
  <c r="V34" i="1"/>
  <c r="M34" i="1"/>
  <c r="N34" i="1" s="1"/>
  <c r="K34" i="1"/>
  <c r="V33" i="1"/>
  <c r="K33" i="1"/>
  <c r="M33" i="1" s="1"/>
  <c r="N33" i="1" s="1"/>
  <c r="V32" i="1"/>
  <c r="K32" i="1"/>
  <c r="M32" i="1" s="1"/>
  <c r="N32" i="1" s="1"/>
  <c r="Q32" i="1" s="1"/>
  <c r="V31" i="1"/>
  <c r="K31" i="1"/>
  <c r="M31" i="1" s="1"/>
  <c r="N31" i="1" s="1"/>
  <c r="V30" i="1"/>
  <c r="K30" i="1"/>
  <c r="M30" i="1" s="1"/>
  <c r="N30" i="1" s="1"/>
  <c r="V29" i="1"/>
  <c r="K29" i="1"/>
  <c r="M29" i="1" s="1"/>
  <c r="N29" i="1" s="1"/>
  <c r="V28" i="1"/>
  <c r="K28" i="1"/>
  <c r="M28" i="1" s="1"/>
  <c r="N28" i="1" s="1"/>
  <c r="Q28" i="1" s="1"/>
  <c r="V27" i="1"/>
  <c r="K27" i="1"/>
  <c r="M27" i="1" s="1"/>
  <c r="N27" i="1" s="1"/>
  <c r="Q27" i="1" s="1"/>
  <c r="V26" i="1"/>
  <c r="K26" i="1"/>
  <c r="M26" i="1" s="1"/>
  <c r="N26" i="1" s="1"/>
  <c r="V25" i="1"/>
  <c r="K25" i="1"/>
  <c r="M25" i="1" s="1"/>
  <c r="N25" i="1" s="1"/>
  <c r="V24" i="1"/>
  <c r="K24" i="1"/>
  <c r="M24" i="1" s="1"/>
  <c r="N24" i="1" s="1"/>
  <c r="Q24" i="1" s="1"/>
  <c r="V23" i="1"/>
  <c r="M23" i="1"/>
  <c r="N23" i="1" s="1"/>
  <c r="Q23" i="1" s="1"/>
  <c r="K23" i="1"/>
  <c r="V22" i="1"/>
  <c r="K22" i="1"/>
  <c r="M22" i="1" s="1"/>
  <c r="N22" i="1" s="1"/>
  <c r="V21" i="1"/>
  <c r="K21" i="1"/>
  <c r="M21" i="1" s="1"/>
  <c r="N21" i="1" s="1"/>
  <c r="V20" i="1"/>
  <c r="O20" i="1"/>
  <c r="K20" i="1"/>
  <c r="M20" i="1" s="1"/>
  <c r="N20" i="1" s="1"/>
  <c r="Q20" i="1" s="1"/>
  <c r="V19" i="1"/>
  <c r="K19" i="1"/>
  <c r="M19" i="1" s="1"/>
  <c r="N19" i="1" s="1"/>
  <c r="V18" i="1"/>
  <c r="K18" i="1"/>
  <c r="M18" i="1" s="1"/>
  <c r="N18" i="1" s="1"/>
  <c r="V17" i="1"/>
  <c r="K17" i="1"/>
  <c r="M17" i="1" s="1"/>
  <c r="N17" i="1" s="1"/>
  <c r="V16" i="1"/>
  <c r="K16" i="1"/>
  <c r="M16" i="1" s="1"/>
  <c r="N16" i="1" s="1"/>
  <c r="O16" i="1" s="1"/>
  <c r="V15" i="1"/>
  <c r="K15" i="1"/>
  <c r="M15" i="1" s="1"/>
  <c r="N15" i="1" s="1"/>
  <c r="V14" i="1"/>
  <c r="K14" i="1"/>
  <c r="M14" i="1" s="1"/>
  <c r="N14" i="1" s="1"/>
  <c r="V13" i="1"/>
  <c r="K13" i="1"/>
  <c r="M13" i="1" s="1"/>
  <c r="N13" i="1" s="1"/>
  <c r="V12" i="1"/>
  <c r="K12" i="1"/>
  <c r="M12" i="1" s="1"/>
  <c r="N12" i="1" s="1"/>
  <c r="Q12" i="1" s="1"/>
  <c r="V11" i="1"/>
  <c r="M11" i="1"/>
  <c r="N11" i="1" s="1"/>
  <c r="Q11" i="1" s="1"/>
  <c r="K11" i="1"/>
  <c r="V10" i="1"/>
  <c r="K10" i="1"/>
  <c r="M10" i="1" s="1"/>
  <c r="N10" i="1" s="1"/>
  <c r="V9" i="1"/>
  <c r="K9" i="1"/>
  <c r="M9" i="1" s="1"/>
  <c r="N9" i="1" s="1"/>
  <c r="V8" i="1"/>
  <c r="K8" i="1"/>
  <c r="M8" i="1" s="1"/>
  <c r="N8" i="1" s="1"/>
  <c r="Q8" i="1" s="1"/>
  <c r="V7" i="1"/>
  <c r="K7" i="1"/>
  <c r="M7" i="1" s="1"/>
  <c r="N7" i="1" s="1"/>
  <c r="Q7" i="1" s="1"/>
  <c r="V6" i="1"/>
  <c r="K6" i="1"/>
  <c r="M6" i="1" s="1"/>
  <c r="N6" i="1" s="1"/>
  <c r="V5" i="1"/>
  <c r="K5" i="1"/>
  <c r="M5" i="1" s="1"/>
  <c r="N5" i="1" s="1"/>
  <c r="V4" i="1"/>
  <c r="Q4" i="1"/>
  <c r="M4" i="1"/>
  <c r="N4" i="1" s="1"/>
  <c r="O4" i="1" s="1"/>
  <c r="K4" i="1"/>
  <c r="V3" i="1"/>
  <c r="M3" i="1"/>
  <c r="N3" i="1" s="1"/>
  <c r="K3" i="1"/>
  <c r="V2" i="1"/>
  <c r="K2" i="1"/>
  <c r="M2" i="1" s="1"/>
  <c r="N2" i="1" s="1"/>
  <c r="M72" i="1" l="1"/>
  <c r="N72" i="1" s="1"/>
  <c r="Q72" i="1" s="1"/>
  <c r="M131" i="1"/>
  <c r="N131" i="1" s="1"/>
  <c r="O32" i="1"/>
  <c r="O61" i="1"/>
  <c r="M126" i="1"/>
  <c r="N126" i="1" s="1"/>
  <c r="Q126" i="1" s="1"/>
  <c r="Q16" i="1"/>
  <c r="M45" i="1"/>
  <c r="N45" i="1" s="1"/>
  <c r="O45" i="1" s="1"/>
  <c r="M73" i="1"/>
  <c r="N73" i="1" s="1"/>
  <c r="Q73" i="1" s="1"/>
  <c r="M122" i="1"/>
  <c r="N122" i="1" s="1"/>
  <c r="Q122" i="1" s="1"/>
  <c r="M127" i="1"/>
  <c r="N127" i="1" s="1"/>
  <c r="M132" i="1"/>
  <c r="N132" i="1" s="1"/>
  <c r="Q132" i="1" s="1"/>
  <c r="O54" i="1"/>
  <c r="Q54" i="1"/>
  <c r="O66" i="1"/>
  <c r="Q66" i="1"/>
  <c r="M124" i="1"/>
  <c r="N124" i="1" s="1"/>
  <c r="O124" i="1" s="1"/>
  <c r="M41" i="1"/>
  <c r="N41" i="1" s="1"/>
  <c r="Q41" i="1" s="1"/>
  <c r="M58" i="1"/>
  <c r="N58" i="1" s="1"/>
  <c r="M65" i="1"/>
  <c r="O142" i="1"/>
  <c r="Q147" i="1"/>
  <c r="M35" i="1"/>
  <c r="N35" i="1" s="1"/>
  <c r="O35" i="1" s="1"/>
  <c r="M37" i="1"/>
  <c r="N37" i="1" s="1"/>
  <c r="O37" i="1" s="1"/>
  <c r="Q39" i="1"/>
  <c r="M56" i="1"/>
  <c r="N56" i="1" s="1"/>
  <c r="O56" i="1" s="1"/>
  <c r="M42" i="1"/>
  <c r="N42" i="1" s="1"/>
  <c r="O42" i="1" s="1"/>
  <c r="M47" i="1"/>
  <c r="N47" i="1" s="1"/>
  <c r="M123" i="1"/>
  <c r="N123" i="1" s="1"/>
  <c r="Q123" i="1" s="1"/>
  <c r="M129" i="1"/>
  <c r="N129" i="1" s="1"/>
  <c r="Q129" i="1" s="1"/>
  <c r="O140" i="1"/>
  <c r="Q143" i="1"/>
  <c r="O148" i="1"/>
  <c r="M38" i="1"/>
  <c r="N38" i="1" s="1"/>
  <c r="M40" i="1"/>
  <c r="N40" i="1" s="1"/>
  <c r="M50" i="1"/>
  <c r="N50" i="1" s="1"/>
  <c r="M64" i="1"/>
  <c r="N64" i="1" s="1"/>
  <c r="O64" i="1" s="1"/>
  <c r="Q83" i="1"/>
  <c r="O88" i="1"/>
  <c r="Q64" i="1"/>
  <c r="Q127" i="1"/>
  <c r="O127" i="1"/>
  <c r="Q52" i="1"/>
  <c r="O52" i="1"/>
  <c r="O75" i="1"/>
  <c r="Q75" i="1"/>
  <c r="Q43" i="1"/>
  <c r="O43" i="1"/>
  <c r="Q94" i="1"/>
  <c r="O94" i="1"/>
  <c r="Q26" i="1"/>
  <c r="O26" i="1"/>
  <c r="O53" i="1"/>
  <c r="Q53" i="1"/>
  <c r="Q101" i="1"/>
  <c r="O101" i="1"/>
  <c r="O106" i="1"/>
  <c r="Q106" i="1"/>
  <c r="Q110" i="1"/>
  <c r="O110" i="1"/>
  <c r="Q22" i="1"/>
  <c r="O22" i="1"/>
  <c r="Q31" i="1"/>
  <c r="O31" i="1"/>
  <c r="O57" i="1"/>
  <c r="Q57" i="1"/>
  <c r="Q117" i="1"/>
  <c r="O117" i="1"/>
  <c r="Q85" i="1"/>
  <c r="O85" i="1"/>
  <c r="O132" i="1"/>
  <c r="Q3" i="1"/>
  <c r="O3" i="1"/>
  <c r="O90" i="1"/>
  <c r="Q90" i="1"/>
  <c r="Q128" i="1"/>
  <c r="O128" i="1"/>
  <c r="Q99" i="1"/>
  <c r="O99" i="1"/>
  <c r="Q19" i="1"/>
  <c r="O19" i="1"/>
  <c r="Q48" i="1"/>
  <c r="O48" i="1"/>
  <c r="Q6" i="1"/>
  <c r="O6" i="1"/>
  <c r="Q15" i="1"/>
  <c r="O15" i="1"/>
  <c r="Q87" i="1"/>
  <c r="O87" i="1"/>
  <c r="Q47" i="1"/>
  <c r="O47" i="1"/>
  <c r="Q49" i="1"/>
  <c r="O49" i="1"/>
  <c r="Q68" i="1"/>
  <c r="O68" i="1"/>
  <c r="Q71" i="1"/>
  <c r="O71" i="1"/>
  <c r="Q97" i="1"/>
  <c r="O97" i="1"/>
  <c r="O120" i="1"/>
  <c r="Q120" i="1"/>
  <c r="Q10" i="1"/>
  <c r="O10" i="1"/>
  <c r="O78" i="1"/>
  <c r="Q78" i="1"/>
  <c r="Q115" i="1"/>
  <c r="O115" i="1"/>
  <c r="Q121" i="1"/>
  <c r="O121" i="1"/>
  <c r="Q92" i="1"/>
  <c r="O92" i="1"/>
  <c r="Q96" i="1"/>
  <c r="O96" i="1"/>
  <c r="Q103" i="1"/>
  <c r="O103" i="1"/>
  <c r="O126" i="1"/>
  <c r="Q9" i="1"/>
  <c r="O9" i="1"/>
  <c r="O11" i="1"/>
  <c r="Q25" i="1"/>
  <c r="O25" i="1"/>
  <c r="O27" i="1"/>
  <c r="M60" i="1"/>
  <c r="N60" i="1" s="1"/>
  <c r="Q74" i="1"/>
  <c r="O74" i="1"/>
  <c r="Q77" i="1"/>
  <c r="O77" i="1"/>
  <c r="O80" i="1"/>
  <c r="Q84" i="1"/>
  <c r="O84" i="1"/>
  <c r="Q89" i="1"/>
  <c r="O89" i="1"/>
  <c r="O113" i="1"/>
  <c r="Q5" i="1"/>
  <c r="O5" i="1"/>
  <c r="Q45" i="1"/>
  <c r="Q67" i="1"/>
  <c r="O67" i="1"/>
  <c r="O104" i="1"/>
  <c r="Q107" i="1"/>
  <c r="O111" i="1"/>
  <c r="O118" i="1"/>
  <c r="M125" i="1"/>
  <c r="N125" i="1" s="1"/>
  <c r="Q130" i="1"/>
  <c r="O130" i="1"/>
  <c r="O141" i="1"/>
  <c r="O12" i="1"/>
  <c r="O28" i="1"/>
  <c r="O69" i="1"/>
  <c r="Q30" i="1"/>
  <c r="O30" i="1"/>
  <c r="O7" i="1"/>
  <c r="O23" i="1"/>
  <c r="M63" i="1"/>
  <c r="N63" i="1" s="1"/>
  <c r="O123" i="1"/>
  <c r="Q40" i="1"/>
  <c r="O40" i="1"/>
  <c r="Q119" i="1"/>
  <c r="O119" i="1"/>
  <c r="Q139" i="1"/>
  <c r="O139" i="1"/>
  <c r="Q14" i="1"/>
  <c r="O14" i="1"/>
  <c r="O114" i="1"/>
  <c r="Q114" i="1"/>
  <c r="Q21" i="1"/>
  <c r="O21" i="1"/>
  <c r="Q33" i="1"/>
  <c r="O33" i="1"/>
  <c r="Q82" i="1"/>
  <c r="O82" i="1"/>
  <c r="O98" i="1"/>
  <c r="Q98" i="1"/>
  <c r="Q108" i="1"/>
  <c r="O108" i="1"/>
  <c r="O8" i="1"/>
  <c r="O24" i="1"/>
  <c r="O44" i="1"/>
  <c r="M46" i="1"/>
  <c r="N46" i="1" s="1"/>
  <c r="M59" i="1"/>
  <c r="N59" i="1" s="1"/>
  <c r="Q76" i="1"/>
  <c r="Q79" i="1"/>
  <c r="O79" i="1"/>
  <c r="Q86" i="1"/>
  <c r="O86" i="1"/>
  <c r="Q91" i="1"/>
  <c r="O95" i="1"/>
  <c r="O102" i="1"/>
  <c r="Q105" i="1"/>
  <c r="O105" i="1"/>
  <c r="Q124" i="1"/>
  <c r="Q131" i="1"/>
  <c r="O131" i="1"/>
  <c r="Q18" i="1"/>
  <c r="O18" i="1"/>
  <c r="Q34" i="1"/>
  <c r="O34" i="1"/>
  <c r="Q81" i="1"/>
  <c r="O81" i="1"/>
  <c r="O36" i="1"/>
  <c r="Q17" i="1"/>
  <c r="O17" i="1"/>
  <c r="Q112" i="1"/>
  <c r="O112" i="1"/>
  <c r="Q2" i="1"/>
  <c r="O2" i="1"/>
  <c r="Q13" i="1"/>
  <c r="O13" i="1"/>
  <c r="Q29" i="1"/>
  <c r="O29" i="1"/>
  <c r="Q70" i="1"/>
  <c r="O70" i="1"/>
  <c r="O109" i="1"/>
  <c r="Q116" i="1"/>
  <c r="M55" i="1"/>
  <c r="N55" i="1" s="1"/>
  <c r="O137" i="1"/>
  <c r="O135" i="1"/>
  <c r="O51" i="1"/>
  <c r="O133" i="1"/>
  <c r="O62" i="1"/>
  <c r="Q42" i="1" l="1"/>
  <c r="O41" i="1"/>
  <c r="O72" i="1"/>
  <c r="Q35" i="1"/>
  <c r="O122" i="1"/>
  <c r="O73" i="1"/>
  <c r="Q56" i="1"/>
  <c r="Q37" i="1"/>
  <c r="Q58" i="1"/>
  <c r="O58" i="1"/>
  <c r="Q38" i="1"/>
  <c r="O38" i="1"/>
  <c r="Q50" i="1"/>
  <c r="O50" i="1"/>
  <c r="O129" i="1"/>
  <c r="Q46" i="1"/>
  <c r="O46" i="1"/>
  <c r="Q60" i="1"/>
  <c r="O60" i="1"/>
  <c r="Q125" i="1"/>
  <c r="O125" i="1"/>
  <c r="Q63" i="1"/>
  <c r="O63" i="1"/>
  <c r="Q55" i="1"/>
  <c r="O55" i="1"/>
  <c r="Q59" i="1"/>
  <c r="O59" i="1"/>
</calcChain>
</file>

<file path=xl/sharedStrings.xml><?xml version="1.0" encoding="utf-8"?>
<sst xmlns="http://schemas.openxmlformats.org/spreadsheetml/2006/main" count="957" uniqueCount="279">
  <si>
    <t>Costo Total COP</t>
  </si>
  <si>
    <t>Transporte</t>
  </si>
  <si>
    <t>Costo Uni COP</t>
  </si>
  <si>
    <t>TRM</t>
  </si>
  <si>
    <t>Total</t>
  </si>
  <si>
    <t>Cantidad</t>
  </si>
  <si>
    <t xml:space="preserve">Descripcion </t>
  </si>
  <si>
    <t>Ganancia</t>
  </si>
  <si>
    <t>Precio Uni COP</t>
  </si>
  <si>
    <t>Impuestos</t>
  </si>
  <si>
    <t xml:space="preserve">Estado </t>
  </si>
  <si>
    <t>Vendido</t>
  </si>
  <si>
    <t>G070VM2422250W62</t>
  </si>
  <si>
    <t xml:space="preserve">Amazon </t>
  </si>
  <si>
    <t>Fire TV 4K</t>
  </si>
  <si>
    <t>Febrero</t>
  </si>
  <si>
    <t>Silvia</t>
  </si>
  <si>
    <t>G070VM2414061WVG</t>
  </si>
  <si>
    <t>FireTV4K  (Restaurado)</t>
  </si>
  <si>
    <t>Enero</t>
  </si>
  <si>
    <t>xiomy 4K</t>
  </si>
  <si>
    <t>G4N0VM0812940KU0</t>
  </si>
  <si>
    <t>pipe 4K</t>
  </si>
  <si>
    <t>G070VM241406216U</t>
  </si>
  <si>
    <t>Kike 4K</t>
  </si>
  <si>
    <t>G070VM2213521UG7</t>
  </si>
  <si>
    <t>Rodrigo 2 _4k</t>
  </si>
  <si>
    <t>Externo</t>
  </si>
  <si>
    <t>Rodrigo 1 4k</t>
  </si>
  <si>
    <t>Mery 3G</t>
  </si>
  <si>
    <t>Fire TV HD</t>
  </si>
  <si>
    <t>Jodman LITE</t>
  </si>
  <si>
    <t>Fire TV LITE</t>
  </si>
  <si>
    <t>Willy 4k 2gen</t>
  </si>
  <si>
    <t>Willy 2 4k 3gen</t>
  </si>
  <si>
    <t>Javier_Rod_1 4k 3gen</t>
  </si>
  <si>
    <t>James_4k 2gen</t>
  </si>
  <si>
    <t>Fermin lite</t>
  </si>
  <si>
    <t>Marzo</t>
  </si>
  <si>
    <t>Sandrita 4Kgen</t>
  </si>
  <si>
    <t>Jolmanve_4k 3gen</t>
  </si>
  <si>
    <t>Tintin4k 3gen</t>
  </si>
  <si>
    <t>Carolina4k 3gen</t>
  </si>
  <si>
    <t>Abril</t>
  </si>
  <si>
    <t>Harold rita-iba 2 fire 4K</t>
  </si>
  <si>
    <t>Casallas 4k 2gen 1-2</t>
  </si>
  <si>
    <t>Gimena 4k 2gen</t>
  </si>
  <si>
    <t>G070VM2420760651</t>
  </si>
  <si>
    <t>G070VM2420760B5V</t>
  </si>
  <si>
    <t>G070VM2420760E16</t>
  </si>
  <si>
    <t>G070VM242232007F</t>
  </si>
  <si>
    <t>G070VM2422251201</t>
  </si>
  <si>
    <t>G070VM24223207HQ</t>
  </si>
  <si>
    <t>G4N1EL092326046D</t>
  </si>
  <si>
    <t>G4N1EL0923450QGK</t>
  </si>
  <si>
    <t>G4N1EL092326048M</t>
  </si>
  <si>
    <t>G070VM2414761BWW</t>
  </si>
  <si>
    <t>G070VM2422770KN9</t>
  </si>
  <si>
    <t>G070VM2422170U9V</t>
  </si>
  <si>
    <t>G070VM2422250W5S</t>
  </si>
  <si>
    <t>G070VM2422250W5U</t>
  </si>
  <si>
    <t>G070VM2420771MS4</t>
  </si>
  <si>
    <t>G070VM2422521TAN</t>
  </si>
  <si>
    <t>G070VM24147209QG</t>
  </si>
  <si>
    <t>G071EL1623720HWV</t>
  </si>
  <si>
    <t>G071EL1623650XTQ</t>
  </si>
  <si>
    <t>G071EL16237208H8</t>
  </si>
  <si>
    <t>G071CQ13202510TE</t>
  </si>
  <si>
    <t>G071CQ13202518CP</t>
  </si>
  <si>
    <t>G071CQ132014027C</t>
  </si>
  <si>
    <t>G070VM26308405S7</t>
  </si>
  <si>
    <t>G070VM2630950UCS</t>
  </si>
  <si>
    <t>G070VM26308404KT</t>
  </si>
  <si>
    <t>G071CQ132032059X</t>
  </si>
  <si>
    <t>G071CQ1315041U37</t>
  </si>
  <si>
    <t>G071CQ13203205AG</t>
  </si>
  <si>
    <t>Noviembre</t>
  </si>
  <si>
    <t>Rosemary James 2 HD</t>
  </si>
  <si>
    <t>G071EL1731130CLT</t>
  </si>
  <si>
    <t>Oscar EscobarHD</t>
  </si>
  <si>
    <t>G071EL1731130CLU</t>
  </si>
  <si>
    <t>octubre</t>
  </si>
  <si>
    <t>Jan 2 HD</t>
  </si>
  <si>
    <t>G071EL1731130CLL</t>
  </si>
  <si>
    <t>Septiembre</t>
  </si>
  <si>
    <t>Jan Garcia4K</t>
  </si>
  <si>
    <t>G070VM2631670QKQ</t>
  </si>
  <si>
    <t>Diana Rojas4K</t>
  </si>
  <si>
    <t>G4N0VM143155003G</t>
  </si>
  <si>
    <t>Kaleth4k</t>
  </si>
  <si>
    <t>G4N0VM143155032D</t>
  </si>
  <si>
    <t>Mario Ortiz4K</t>
  </si>
  <si>
    <t>G071R20930550NMU</t>
  </si>
  <si>
    <t>Fire TV 4K MAX</t>
  </si>
  <si>
    <t>Diciembre</t>
  </si>
  <si>
    <t>Lucia 4K max</t>
  </si>
  <si>
    <t>G071R20930550PP1</t>
  </si>
  <si>
    <t>Ricardo Peña 3 4K max</t>
  </si>
  <si>
    <t>G071R20930550Q7U</t>
  </si>
  <si>
    <t>G070VM2631840JV5</t>
  </si>
  <si>
    <t>Ricardo Peña4K</t>
  </si>
  <si>
    <t>G070VM2631840LJC</t>
  </si>
  <si>
    <t>leoRojas4K</t>
  </si>
  <si>
    <t>G070VM2631840J1U</t>
  </si>
  <si>
    <t>Adriana Hermano 4K max</t>
  </si>
  <si>
    <t>G071R20932230HDV</t>
  </si>
  <si>
    <t>agosto</t>
  </si>
  <si>
    <t>Javier_Rod3  4k max</t>
  </si>
  <si>
    <t>G071R20932050N3A</t>
  </si>
  <si>
    <t>Dysney 4K max</t>
  </si>
  <si>
    <t>G071R209252401MW</t>
  </si>
  <si>
    <t>Jan3 Demo 4K</t>
  </si>
  <si>
    <t>G4N0VM14310605TN</t>
  </si>
  <si>
    <t>Don Gus 4K</t>
  </si>
  <si>
    <t>G4N0VM14310607CG</t>
  </si>
  <si>
    <t>Mauricio Bonilla4K</t>
  </si>
  <si>
    <t>G4N0VM143106031A</t>
  </si>
  <si>
    <t>Ricardo Peña 2 4K</t>
  </si>
  <si>
    <t>G4N0VM143197042J</t>
  </si>
  <si>
    <t>Maria Teresa 4K</t>
  </si>
  <si>
    <t>G4N0VM143173027N</t>
  </si>
  <si>
    <t>Kaleth2 4K</t>
  </si>
  <si>
    <t>G070VM2631950ND4</t>
  </si>
  <si>
    <t xml:space="preserve">Elizabeth </t>
  </si>
  <si>
    <t>G4N1EL1130460PQT</t>
  </si>
  <si>
    <t>A Chirinos 4K</t>
  </si>
  <si>
    <t>G4N1EL1130460TUM</t>
  </si>
  <si>
    <t>Harry</t>
  </si>
  <si>
    <t>G4N1EL1130460JU0</t>
  </si>
  <si>
    <t>Garantia Dani 2</t>
  </si>
  <si>
    <t>G4N1CQ14343400NH</t>
  </si>
  <si>
    <t>Ivan Brijaldo</t>
  </si>
  <si>
    <t>G4N1CQ14343400UE</t>
  </si>
  <si>
    <t xml:space="preserve">Suegro </t>
  </si>
  <si>
    <t>G4N1CQ1434340D5P</t>
  </si>
  <si>
    <t>Jhon Garzon4K</t>
  </si>
  <si>
    <t>G072JN0733821NDT</t>
  </si>
  <si>
    <t>Leo 2</t>
  </si>
  <si>
    <t>G072JN0733821NEM</t>
  </si>
  <si>
    <t>Ivan Correa Jan 4K</t>
  </si>
  <si>
    <t>G072JN0733821C1N</t>
  </si>
  <si>
    <t>Laura Gonzales Jan H4K</t>
  </si>
  <si>
    <t>G072JN0733440U83</t>
  </si>
  <si>
    <t>Lino porteroFireTV HD</t>
  </si>
  <si>
    <t>G071EL172486105E</t>
  </si>
  <si>
    <t>Amix stefania janFireTV HD</t>
  </si>
  <si>
    <t>G4N1EL16347202TT</t>
  </si>
  <si>
    <t>A Chirinos FireTV HD</t>
  </si>
  <si>
    <t>G4N1EL16347202HP</t>
  </si>
  <si>
    <t>G4N1EL16347203MK</t>
  </si>
  <si>
    <t>Felipe Parra</t>
  </si>
  <si>
    <t>G4N1CQ1434650VG8</t>
  </si>
  <si>
    <t>Andres chiri ven 2 lite</t>
  </si>
  <si>
    <t>G4N1CQ1434650TLM</t>
  </si>
  <si>
    <t>Andres chiri ven 1 lite</t>
  </si>
  <si>
    <t>G4N1CQ1434650VVQ</t>
  </si>
  <si>
    <t>Lucia4K max</t>
  </si>
  <si>
    <t>G072JM083464149N</t>
  </si>
  <si>
    <t>G072JN08347413RH</t>
  </si>
  <si>
    <t>Gloria Piñeres HD</t>
  </si>
  <si>
    <t>G4N1EL1633850LFK</t>
  </si>
  <si>
    <t>Jorge AlmoFireTV 4K</t>
  </si>
  <si>
    <t>Viviana Gomez Jan 4K</t>
  </si>
  <si>
    <t>Jan solo FireTV HD</t>
  </si>
  <si>
    <t>G071EL204023035H</t>
  </si>
  <si>
    <t>Alejandro Bernal 2 4KMAX</t>
  </si>
  <si>
    <t>G072JM08347708HP</t>
  </si>
  <si>
    <t>Mayo</t>
  </si>
  <si>
    <t>Adriana Garzon4K</t>
  </si>
  <si>
    <t>G072JN08401616CF</t>
  </si>
  <si>
    <t>G072JN0734362F1J</t>
  </si>
  <si>
    <t>G072JN0734361G63</t>
  </si>
  <si>
    <t>Daniela 6 4K</t>
  </si>
  <si>
    <t>G072JN0734362EUF</t>
  </si>
  <si>
    <t>Niño 2 4k</t>
  </si>
  <si>
    <t>G072JN083514033F</t>
  </si>
  <si>
    <t>Nilson Mechas FireTV HD</t>
  </si>
  <si>
    <t>G072JN0734420PAL</t>
  </si>
  <si>
    <t>Junio</t>
  </si>
  <si>
    <t>Daniela 7 4K</t>
  </si>
  <si>
    <t>G072JN0734420PKE</t>
  </si>
  <si>
    <t>Julio</t>
  </si>
  <si>
    <t>Carlos Lopera 4k</t>
  </si>
  <si>
    <t>G072JN0734420PL9</t>
  </si>
  <si>
    <t>En Bodega</t>
  </si>
  <si>
    <t>G4N1CQ1440920L9P</t>
  </si>
  <si>
    <t>Agosto</t>
  </si>
  <si>
    <t>Adriana Garzon 4</t>
  </si>
  <si>
    <t>G4N1CQ1440920M8K</t>
  </si>
  <si>
    <t>Alvaro Lopez lite</t>
  </si>
  <si>
    <t>G4N1CQ1440920LUH</t>
  </si>
  <si>
    <t>Ruben 2FireTV 4K</t>
  </si>
  <si>
    <t>G4N1EL1635220A39</t>
  </si>
  <si>
    <t>G4N1EL1635220A46</t>
  </si>
  <si>
    <t>Pipe 2 HD</t>
  </si>
  <si>
    <t>G4N1EL1635220A3C</t>
  </si>
  <si>
    <t>Daniela 8 4K</t>
  </si>
  <si>
    <t>G072JN0840260JW9</t>
  </si>
  <si>
    <t>Diana Rojas 2 4K</t>
  </si>
  <si>
    <t>G072JN0840260TKM</t>
  </si>
  <si>
    <t>Diana Rojas 3 4K</t>
  </si>
  <si>
    <t>G072JN0840260TPN</t>
  </si>
  <si>
    <t>Gonzalo Peña 4K+</t>
  </si>
  <si>
    <t>G072JM08403202LM</t>
  </si>
  <si>
    <t>Lucia 4K max 2</t>
  </si>
  <si>
    <t>G072JM08405401U9</t>
  </si>
  <si>
    <t>Marce - lucia</t>
  </si>
  <si>
    <t>G072JM084053041R</t>
  </si>
  <si>
    <t>Carlos Bernal 2</t>
  </si>
  <si>
    <t>G072JN0834860TQV</t>
  </si>
  <si>
    <t>Harry 2</t>
  </si>
  <si>
    <t>G072JN0834860ELS</t>
  </si>
  <si>
    <t xml:space="preserve">Vannesa Solano 1 </t>
  </si>
  <si>
    <t>G072JN08348607k9</t>
  </si>
  <si>
    <t>Diego Neiv</t>
  </si>
  <si>
    <t>G072JN0734340ECL</t>
  </si>
  <si>
    <t>G4N1CQ1541771LMX</t>
  </si>
  <si>
    <t>G4N1CQ1541771LV7</t>
  </si>
  <si>
    <t>G4N1CQ1541771PA6</t>
  </si>
  <si>
    <t>Vanessa Postobon</t>
  </si>
  <si>
    <t>G4N1EL1741531MAQ</t>
  </si>
  <si>
    <t>Harry 3</t>
  </si>
  <si>
    <t>Casillero</t>
  </si>
  <si>
    <t>G4N1EL17415613XU</t>
  </si>
  <si>
    <t>G4N1EL1741531MAK</t>
  </si>
  <si>
    <t xml:space="preserve">Daniela 10 </t>
  </si>
  <si>
    <t>G072JN08347427JU</t>
  </si>
  <si>
    <t>Ciro Diaz(Andres Duque)</t>
  </si>
  <si>
    <t>G072JN0834470DE6</t>
  </si>
  <si>
    <t>Daniela 9 4K</t>
  </si>
  <si>
    <t>G072JN0834470DEU</t>
  </si>
  <si>
    <t>G4N2JM0141671CPL</t>
  </si>
  <si>
    <t>G4N2JM0141671GTV</t>
  </si>
  <si>
    <t>G4N2JM0141671BRS</t>
  </si>
  <si>
    <t>G4N1CQ1542040CLE</t>
  </si>
  <si>
    <t>G4N1CQ15420503MX</t>
  </si>
  <si>
    <t>G4N1CQ15420410T1</t>
  </si>
  <si>
    <t>Hernan Neiv</t>
  </si>
  <si>
    <t>G071EL2241631RA1</t>
  </si>
  <si>
    <t>Mauricio Postobon</t>
  </si>
  <si>
    <t>G071EL204044095E</t>
  </si>
  <si>
    <t>Alexa Postobon</t>
  </si>
  <si>
    <t>G071EL2241550KDE</t>
  </si>
  <si>
    <t>Jose Postobon</t>
  </si>
  <si>
    <t>G071EL204044085R</t>
  </si>
  <si>
    <t>Vannesa Solano 2</t>
  </si>
  <si>
    <t>G4N1EL17415617P7</t>
  </si>
  <si>
    <t>Mama Leidy</t>
  </si>
  <si>
    <t>G4N1EL16401505AP</t>
  </si>
  <si>
    <t>Tio Stefania</t>
  </si>
  <si>
    <t>G4N1EL16401504W8</t>
  </si>
  <si>
    <t>Daniela11 (Claudia)</t>
  </si>
  <si>
    <t>G072JN0841960GVW</t>
  </si>
  <si>
    <t>G072JN0841960K80</t>
  </si>
  <si>
    <t>G072JN0841960KRB</t>
  </si>
  <si>
    <t>G072JN0841960GA2</t>
  </si>
  <si>
    <t>G4N2JN0142330TEG</t>
  </si>
  <si>
    <t>Mauricio Carras Gust cardo</t>
  </si>
  <si>
    <t>G4N2JM0141572D0G</t>
  </si>
  <si>
    <t>G072JM0841560VAU</t>
  </si>
  <si>
    <t>G072JM0841560UAB</t>
  </si>
  <si>
    <t>G072JN0834721WAS</t>
  </si>
  <si>
    <t>G072JN0834721x1U</t>
  </si>
  <si>
    <t>G072JN0834721x0t</t>
  </si>
  <si>
    <t>Garantia</t>
  </si>
  <si>
    <t xml:space="preserve">Año de venta </t>
  </si>
  <si>
    <t>Mes de venta</t>
  </si>
  <si>
    <t>Usuario</t>
  </si>
  <si>
    <t xml:space="preserve">% Utilidad </t>
  </si>
  <si>
    <t>Envio</t>
  </si>
  <si>
    <t>Costo Unitario</t>
  </si>
  <si>
    <t>Serie</t>
  </si>
  <si>
    <t>Proveedor</t>
  </si>
  <si>
    <t>Fecha</t>
  </si>
  <si>
    <t>SKU</t>
  </si>
  <si>
    <t>0014K</t>
  </si>
  <si>
    <t>0024KMAX</t>
  </si>
  <si>
    <t>003HD</t>
  </si>
  <si>
    <t>004LT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</si>
</sst>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-&quot;$&quot;\ * #,##0_-;\-&quot;$&quot;\ * #,##0_-;_-&quot;$&quot;\ * &quot;-&quot;??_-;_-@_-"/>
    <numFmt numFmtId="166" formatCode="0.0%"/>
    <numFmt numFmtId="167" formatCode="_(&quot;$&quot;* #,##0_);_(&quot;$&quot;* \(#,##0\);_(&quot;$&quot;* &quot;-&quot;??_);_(@_)"/>
    <numFmt numFmtId="168" formatCode="&quot;$&quot;\ #,##0.00"/>
    <numFmt numFmtId="169" formatCode="&quot;$&quot;\ #,##0"/>
    <numFmt numFmtId="170" formatCode="0.0"/>
  </numFmts>
  <fonts count="4" x14ac:knownFonts="1">
    <font>
      <sz val="11"/>
      <color theme="1" tint="0.24994659260841701"/>
      <name val="Aptos Display"/>
      <family val="2"/>
      <scheme val="major"/>
    </font>
    <font>
      <sz val="11"/>
      <color theme="1" tint="0.24994659260841701"/>
      <name val="Aptos Display"/>
      <family val="2"/>
      <scheme val="major"/>
    </font>
    <font>
      <b/>
      <sz val="16"/>
      <color theme="1" tint="0.24994659260841701"/>
      <name val="Aptos Display"/>
      <family val="2"/>
      <scheme val="major"/>
    </font>
    <font>
      <b/>
      <sz val="11"/>
      <color theme="1" tint="0.2499465926084170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 applyNumberFormat="0" applyFill="0" applyBorder="0" applyProtection="0">
      <alignment horizontal="center" vertical="center"/>
    </xf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>
      <alignment horizontal="center" vertical="center"/>
    </xf>
    <xf numFmtId="0" fontId="2" fillId="0" borderId="0" xfId="0" applyFont="1">
      <alignment horizontal="center" vertical="center"/>
    </xf>
    <xf numFmtId="14" fontId="0" fillId="0" borderId="0" xfId="0" applyNumberFormat="1">
      <alignment horizontal="center" vertical="center"/>
    </xf>
    <xf numFmtId="0" fontId="0" fillId="0" borderId="1" xfId="0" applyBorder="1">
      <alignment horizontal="center" vertical="center"/>
    </xf>
    <xf numFmtId="0" fontId="2" fillId="0" borderId="1" xfId="0" applyFont="1" applyBorder="1">
      <alignment horizontal="center" vertical="center"/>
    </xf>
    <xf numFmtId="0" fontId="0" fillId="0" borderId="1" xfId="0" applyFill="1" applyBorder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horizontal="center" vertical="center"/>
    </xf>
    <xf numFmtId="0" fontId="3" fillId="0" borderId="1" xfId="0" applyFont="1" applyBorder="1">
      <alignment horizontal="center" vertical="center"/>
    </xf>
    <xf numFmtId="0" fontId="0" fillId="3" borderId="0" xfId="0" applyFill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167" fontId="3" fillId="0" borderId="1" xfId="0" applyNumberFormat="1" applyFont="1" applyBorder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>
      <alignment horizontal="center" vertical="center"/>
    </xf>
    <xf numFmtId="168" fontId="3" fillId="0" borderId="1" xfId="0" applyNumberFormat="1" applyFont="1" applyFill="1" applyBorder="1">
      <alignment horizontal="center" vertical="center"/>
    </xf>
    <xf numFmtId="169" fontId="3" fillId="0" borderId="1" xfId="0" applyNumberFormat="1" applyFont="1" applyFill="1" applyBorder="1">
      <alignment horizontal="center" vertical="center"/>
    </xf>
    <xf numFmtId="14" fontId="3" fillId="0" borderId="1" xfId="0" applyNumberFormat="1" applyFont="1" applyFill="1" applyBorder="1">
      <alignment horizontal="center" vertical="center"/>
    </xf>
    <xf numFmtId="170" fontId="3" fillId="0" borderId="1" xfId="0" applyNumberFormat="1" applyFont="1" applyFill="1" applyBorder="1">
      <alignment horizontal="center" vertical="center"/>
    </xf>
    <xf numFmtId="169" fontId="3" fillId="0" borderId="1" xfId="1" applyNumberFormat="1" applyFont="1" applyFill="1" applyBorder="1" applyAlignment="1">
      <alignment horizontal="center" vertical="center"/>
    </xf>
    <xf numFmtId="0" fontId="0" fillId="0" borderId="0" xfId="0" applyFill="1">
      <alignment horizontal="center" vertical="center"/>
    </xf>
    <xf numFmtId="164" fontId="3" fillId="0" borderId="1" xfId="1" applyFont="1" applyFill="1" applyBorder="1" applyAlignment="1">
      <alignment horizontal="center" vertical="center"/>
    </xf>
    <xf numFmtId="168" fontId="3" fillId="0" borderId="1" xfId="0" applyNumberFormat="1" applyFont="1" applyBorder="1">
      <alignment horizontal="center" vertical="center"/>
    </xf>
    <xf numFmtId="2" fontId="3" fillId="0" borderId="1" xfId="0" applyNumberFormat="1" applyFont="1" applyFill="1" applyBorder="1">
      <alignment horizontal="center" vertical="center"/>
    </xf>
    <xf numFmtId="14" fontId="3" fillId="2" borderId="1" xfId="0" applyNumberFormat="1" applyFont="1" applyFill="1" applyBorder="1">
      <alignment horizontal="center" vertical="center"/>
    </xf>
    <xf numFmtId="167" fontId="3" fillId="0" borderId="1" xfId="1" applyNumberFormat="1" applyFont="1" applyBorder="1" applyAlignment="1">
      <alignment horizontal="center" vertical="center"/>
    </xf>
    <xf numFmtId="167" fontId="2" fillId="0" borderId="1" xfId="0" applyNumberFormat="1" applyFont="1" applyBorder="1">
      <alignment horizontal="center" vertical="center"/>
    </xf>
    <xf numFmtId="164" fontId="3" fillId="0" borderId="1" xfId="1" applyFont="1" applyBorder="1" applyAlignment="1">
      <alignment horizontal="center" vertical="center"/>
    </xf>
    <xf numFmtId="169" fontId="3" fillId="0" borderId="1" xfId="0" applyNumberFormat="1" applyFont="1" applyBorder="1">
      <alignment horizontal="center" vertical="center"/>
    </xf>
    <xf numFmtId="14" fontId="3" fillId="0" borderId="1" xfId="0" applyNumberFormat="1" applyFont="1" applyBorder="1">
      <alignment horizontal="center" vertical="center"/>
    </xf>
    <xf numFmtId="0" fontId="3" fillId="2" borderId="1" xfId="0" applyFont="1" applyFill="1" applyBorder="1">
      <alignment horizontal="center" vertical="center"/>
    </xf>
    <xf numFmtId="0" fontId="2" fillId="0" borderId="2" xfId="0" applyFont="1" applyFill="1" applyBorder="1">
      <alignment horizontal="center" vertical="center"/>
    </xf>
    <xf numFmtId="0" fontId="2" fillId="0" borderId="3" xfId="0" applyFont="1" applyFill="1" applyBorder="1">
      <alignment horizontal="center" vertical="center"/>
    </xf>
    <xf numFmtId="14" fontId="2" fillId="0" borderId="3" xfId="0" applyNumberFormat="1" applyFont="1" applyFill="1" applyBorder="1">
      <alignment horizontal="center" vertical="center"/>
    </xf>
    <xf numFmtId="0" fontId="2" fillId="0" borderId="4" xfId="0" applyFont="1" applyFill="1" applyBorder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117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d056fcf46f041d/Documentos/Curso%20POWER%20BI/Ejecicio%20Final/Planificador%20de%20proyectos%20Magistv_v1_04062024.xlsm" TargetMode="External"/><Relationship Id="rId1" Type="http://schemas.openxmlformats.org/officeDocument/2006/relationships/externalLinkPath" Target="/dad056fcf46f041d/Documentos/Curso%20POWER%20BI/Ejecicio%20Final/Planificador%20de%20proyectos%20Magistv_v1_0406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G2022"/>
      <sheetName val="CG2023"/>
      <sheetName val="Planificador de Telelatino"/>
      <sheetName val="Dashboard"/>
      <sheetName val="CG2024 "/>
      <sheetName val="Planificador"/>
      <sheetName val="Resumen"/>
      <sheetName val="Base"/>
      <sheetName val="TC"/>
      <sheetName val="Ultimos Movimientos"/>
      <sheetName val="Lote"/>
      <sheetName val="Inventario"/>
      <sheetName val="CD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2B28-B239-47A5-B78B-008D975A7085}">
  <sheetPr codeName="Hoja6"/>
  <dimension ref="A1:V153"/>
  <sheetViews>
    <sheetView tabSelected="1" topLeftCell="A22" workbookViewId="0">
      <selection activeCell="A23" sqref="A23"/>
    </sheetView>
  </sheetViews>
  <sheetFormatPr baseColWidth="10" defaultColWidth="3.125" defaultRowHeight="21" x14ac:dyDescent="0.25"/>
  <cols>
    <col min="1" max="1" width="14.25" customWidth="1"/>
    <col min="2" max="2" width="11.875" style="2" bestFit="1" customWidth="1"/>
    <col min="3" max="3" width="25.5" bestFit="1" customWidth="1"/>
    <col min="4" max="4" width="17" bestFit="1" customWidth="1"/>
    <col min="5" max="5" width="19" bestFit="1" customWidth="1"/>
    <col min="6" max="6" width="21.75" bestFit="1" customWidth="1"/>
    <col min="7" max="7" width="11.5" bestFit="1" customWidth="1"/>
    <col min="8" max="8" width="17.125" bestFit="1" customWidth="1"/>
    <col min="9" max="9" width="17.75" bestFit="1" customWidth="1"/>
    <col min="10" max="10" width="15.5" bestFit="1" customWidth="1"/>
    <col min="11" max="11" width="12.25" bestFit="1" customWidth="1"/>
    <col min="12" max="12" width="10.375" bestFit="1" customWidth="1"/>
    <col min="13" max="13" width="25.25" bestFit="1" customWidth="1"/>
    <col min="14" max="14" width="28.375" style="1" bestFit="1" customWidth="1"/>
    <col min="15" max="15" width="17.375" bestFit="1" customWidth="1"/>
    <col min="16" max="16" width="22.375" bestFit="1" customWidth="1"/>
    <col min="17" max="17" width="15.75" bestFit="1" customWidth="1"/>
    <col min="18" max="18" width="14.75" bestFit="1" customWidth="1"/>
    <col min="19" max="19" width="22.125" bestFit="1" customWidth="1"/>
    <col min="20" max="20" width="20.25" bestFit="1" customWidth="1"/>
    <col min="21" max="21" width="20.875" bestFit="1" customWidth="1"/>
    <col min="22" max="22" width="15" bestFit="1" customWidth="1"/>
  </cols>
  <sheetData>
    <row r="1" spans="1:22" x14ac:dyDescent="0.25">
      <c r="A1" s="33" t="s">
        <v>274</v>
      </c>
      <c r="B1" s="32" t="s">
        <v>273</v>
      </c>
      <c r="C1" s="31" t="s">
        <v>6</v>
      </c>
      <c r="D1" s="31" t="s">
        <v>272</v>
      </c>
      <c r="E1" s="31" t="s">
        <v>271</v>
      </c>
      <c r="F1" s="31" t="s">
        <v>270</v>
      </c>
      <c r="G1" s="31" t="s">
        <v>269</v>
      </c>
      <c r="H1" s="31" t="s">
        <v>9</v>
      </c>
      <c r="I1" s="31" t="s">
        <v>1</v>
      </c>
      <c r="J1" s="31" t="s">
        <v>5</v>
      </c>
      <c r="K1" s="31" t="s">
        <v>4</v>
      </c>
      <c r="L1" s="31" t="s">
        <v>3</v>
      </c>
      <c r="M1" s="31" t="s">
        <v>2</v>
      </c>
      <c r="N1" s="31" t="s">
        <v>0</v>
      </c>
      <c r="O1" s="31" t="s">
        <v>268</v>
      </c>
      <c r="P1" s="31" t="s">
        <v>8</v>
      </c>
      <c r="Q1" s="31" t="s">
        <v>7</v>
      </c>
      <c r="R1" s="31" t="s">
        <v>10</v>
      </c>
      <c r="S1" s="31" t="s">
        <v>267</v>
      </c>
      <c r="T1" s="31" t="s">
        <v>266</v>
      </c>
      <c r="U1" s="31" t="s">
        <v>265</v>
      </c>
      <c r="V1" s="30" t="s">
        <v>264</v>
      </c>
    </row>
    <row r="2" spans="1:22" x14ac:dyDescent="0.25">
      <c r="A2" s="4" t="s">
        <v>275</v>
      </c>
      <c r="B2" s="16">
        <v>45547</v>
      </c>
      <c r="C2" s="8" t="s">
        <v>14</v>
      </c>
      <c r="D2" s="8" t="s">
        <v>13</v>
      </c>
      <c r="E2" s="7" t="s">
        <v>263</v>
      </c>
      <c r="F2" s="8">
        <v>32.33</v>
      </c>
      <c r="G2" s="8">
        <v>0</v>
      </c>
      <c r="H2" s="8">
        <v>0</v>
      </c>
      <c r="I2" s="27">
        <v>15267.333333333334</v>
      </c>
      <c r="J2" s="8">
        <v>1</v>
      </c>
      <c r="K2" s="21">
        <f t="shared" ref="K2:K65" si="0">SUBTOTAL(9,F2:H2)</f>
        <v>32.33</v>
      </c>
      <c r="L2" s="26">
        <v>4182</v>
      </c>
      <c r="M2" s="24">
        <f t="shared" ref="M2:M60" si="1">(L2*K2)+I2</f>
        <v>150471.39333333334</v>
      </c>
      <c r="N2" s="25">
        <f t="shared" ref="N2:N64" si="2">SUM(M2:M2)</f>
        <v>150471.39333333334</v>
      </c>
      <c r="O2" s="10">
        <f t="shared" ref="O2:O65" si="3">(P2-N2)/N2*100%</f>
        <v>0.2626984823560482</v>
      </c>
      <c r="P2" s="24">
        <v>190000</v>
      </c>
      <c r="Q2" s="11">
        <f t="shared" ref="Q2:Q65" si="4">P2-N2</f>
        <v>39528.606666666659</v>
      </c>
      <c r="R2" s="8" t="s">
        <v>184</v>
      </c>
      <c r="S2" s="3"/>
      <c r="T2" s="3"/>
      <c r="U2" s="3">
        <v>2024</v>
      </c>
      <c r="V2" s="5" t="str">
        <f t="shared" ref="V2:V65" si="5">IF(U2&gt;=2024,"SI","NO")</f>
        <v>SI</v>
      </c>
    </row>
    <row r="3" spans="1:22" x14ac:dyDescent="0.25">
      <c r="A3" s="4" t="s">
        <v>275</v>
      </c>
      <c r="B3" s="16">
        <v>45547</v>
      </c>
      <c r="C3" s="8" t="s">
        <v>14</v>
      </c>
      <c r="D3" s="8" t="s">
        <v>13</v>
      </c>
      <c r="E3" s="7" t="s">
        <v>262</v>
      </c>
      <c r="F3" s="8">
        <v>32.33</v>
      </c>
      <c r="G3" s="8">
        <v>0</v>
      </c>
      <c r="H3" s="8">
        <v>0</v>
      </c>
      <c r="I3" s="27">
        <v>15267.333333333334</v>
      </c>
      <c r="J3" s="8">
        <v>1</v>
      </c>
      <c r="K3" s="21">
        <f t="shared" si="0"/>
        <v>32.33</v>
      </c>
      <c r="L3" s="26">
        <v>4182</v>
      </c>
      <c r="M3" s="24">
        <f t="shared" si="1"/>
        <v>150471.39333333334</v>
      </c>
      <c r="N3" s="25">
        <f t="shared" si="2"/>
        <v>150471.39333333334</v>
      </c>
      <c r="O3" s="10">
        <f t="shared" si="3"/>
        <v>0.2626984823560482</v>
      </c>
      <c r="P3" s="24">
        <v>190000</v>
      </c>
      <c r="Q3" s="11">
        <f t="shared" si="4"/>
        <v>39528.606666666659</v>
      </c>
      <c r="R3" s="8" t="s">
        <v>184</v>
      </c>
      <c r="S3" s="3"/>
      <c r="T3" s="3"/>
      <c r="U3" s="3">
        <v>2024</v>
      </c>
      <c r="V3" s="5" t="str">
        <f t="shared" si="5"/>
        <v>SI</v>
      </c>
    </row>
    <row r="4" spans="1:22" x14ac:dyDescent="0.25">
      <c r="A4" s="4" t="s">
        <v>275</v>
      </c>
      <c r="B4" s="16">
        <v>45547</v>
      </c>
      <c r="C4" s="8" t="s">
        <v>14</v>
      </c>
      <c r="D4" s="8" t="s">
        <v>13</v>
      </c>
      <c r="E4" s="7" t="s">
        <v>261</v>
      </c>
      <c r="F4" s="8">
        <v>32.33</v>
      </c>
      <c r="G4" s="8">
        <v>0</v>
      </c>
      <c r="H4" s="8">
        <v>0</v>
      </c>
      <c r="I4" s="27">
        <v>15267.333333333334</v>
      </c>
      <c r="J4" s="8">
        <v>1</v>
      </c>
      <c r="K4" s="21">
        <f t="shared" si="0"/>
        <v>32.33</v>
      </c>
      <c r="L4" s="26">
        <v>4182</v>
      </c>
      <c r="M4" s="24">
        <f t="shared" si="1"/>
        <v>150471.39333333334</v>
      </c>
      <c r="N4" s="25">
        <f t="shared" si="2"/>
        <v>150471.39333333334</v>
      </c>
      <c r="O4" s="10">
        <f t="shared" si="3"/>
        <v>0.2626984823560482</v>
      </c>
      <c r="P4" s="24">
        <v>190000</v>
      </c>
      <c r="Q4" s="11">
        <f t="shared" si="4"/>
        <v>39528.606666666659</v>
      </c>
      <c r="R4" s="8" t="s">
        <v>184</v>
      </c>
      <c r="S4" s="3"/>
      <c r="T4" s="3"/>
      <c r="U4" s="3">
        <v>2024</v>
      </c>
      <c r="V4" s="5" t="str">
        <f t="shared" si="5"/>
        <v>SI</v>
      </c>
    </row>
    <row r="5" spans="1:22" x14ac:dyDescent="0.25">
      <c r="A5" s="4" t="s">
        <v>276</v>
      </c>
      <c r="B5" s="16">
        <v>45484</v>
      </c>
      <c r="C5" s="8" t="s">
        <v>93</v>
      </c>
      <c r="D5" s="8" t="s">
        <v>13</v>
      </c>
      <c r="E5" s="7" t="s">
        <v>260</v>
      </c>
      <c r="F5" s="8">
        <v>34.99</v>
      </c>
      <c r="G5" s="8">
        <v>0</v>
      </c>
      <c r="H5" s="8">
        <v>0</v>
      </c>
      <c r="I5" s="27">
        <v>12100</v>
      </c>
      <c r="J5" s="8">
        <v>1</v>
      </c>
      <c r="K5" s="21">
        <f t="shared" si="0"/>
        <v>34.99</v>
      </c>
      <c r="L5" s="26">
        <v>4068.0162435456114</v>
      </c>
      <c r="M5" s="24">
        <f t="shared" si="1"/>
        <v>154439.88836166094</v>
      </c>
      <c r="N5" s="25">
        <f t="shared" si="2"/>
        <v>154439.88836166094</v>
      </c>
      <c r="O5" s="10">
        <f t="shared" si="3"/>
        <v>0.3597523426605353</v>
      </c>
      <c r="P5" s="24">
        <v>210000</v>
      </c>
      <c r="Q5" s="11">
        <f t="shared" si="4"/>
        <v>55560.111638339062</v>
      </c>
      <c r="R5" s="8" t="s">
        <v>184</v>
      </c>
      <c r="S5" s="3"/>
      <c r="T5" s="3"/>
      <c r="U5" s="3">
        <v>2024</v>
      </c>
      <c r="V5" s="5" t="str">
        <f t="shared" si="5"/>
        <v>SI</v>
      </c>
    </row>
    <row r="6" spans="1:22" x14ac:dyDescent="0.25">
      <c r="A6" s="4" t="s">
        <v>276</v>
      </c>
      <c r="B6" s="16">
        <v>45484</v>
      </c>
      <c r="C6" s="8" t="s">
        <v>93</v>
      </c>
      <c r="D6" s="8" t="s">
        <v>13</v>
      </c>
      <c r="E6" s="7" t="s">
        <v>259</v>
      </c>
      <c r="F6" s="8">
        <v>34.99</v>
      </c>
      <c r="G6" s="8">
        <v>0</v>
      </c>
      <c r="H6" s="8">
        <v>0</v>
      </c>
      <c r="I6" s="27">
        <v>12100</v>
      </c>
      <c r="J6" s="8">
        <v>1</v>
      </c>
      <c r="K6" s="21">
        <f t="shared" si="0"/>
        <v>34.99</v>
      </c>
      <c r="L6" s="26">
        <v>4068.0162435456114</v>
      </c>
      <c r="M6" s="24">
        <f t="shared" si="1"/>
        <v>154439.88836166094</v>
      </c>
      <c r="N6" s="25">
        <f t="shared" si="2"/>
        <v>154439.88836166094</v>
      </c>
      <c r="O6" s="10">
        <f t="shared" si="3"/>
        <v>0.3597523426605353</v>
      </c>
      <c r="P6" s="24">
        <v>210000</v>
      </c>
      <c r="Q6" s="11">
        <f t="shared" si="4"/>
        <v>55560.111638339062</v>
      </c>
      <c r="R6" s="8" t="s">
        <v>184</v>
      </c>
      <c r="S6" s="3"/>
      <c r="T6" s="3"/>
      <c r="U6" s="3">
        <v>2024</v>
      </c>
      <c r="V6" s="5" t="str">
        <f t="shared" si="5"/>
        <v>SI</v>
      </c>
    </row>
    <row r="7" spans="1:22" x14ac:dyDescent="0.25">
      <c r="A7" s="4" t="s">
        <v>276</v>
      </c>
      <c r="B7" s="16">
        <v>45484</v>
      </c>
      <c r="C7" s="8" t="s">
        <v>93</v>
      </c>
      <c r="D7" s="8" t="s">
        <v>13</v>
      </c>
      <c r="E7" s="7" t="s">
        <v>258</v>
      </c>
      <c r="F7" s="8">
        <v>34.99</v>
      </c>
      <c r="G7" s="8">
        <v>0</v>
      </c>
      <c r="H7" s="8">
        <v>0</v>
      </c>
      <c r="I7" s="27">
        <v>12100</v>
      </c>
      <c r="J7" s="8">
        <v>1</v>
      </c>
      <c r="K7" s="21">
        <f t="shared" si="0"/>
        <v>34.99</v>
      </c>
      <c r="L7" s="26">
        <v>4068.0162435456114</v>
      </c>
      <c r="M7" s="24">
        <f t="shared" si="1"/>
        <v>154439.88836166094</v>
      </c>
      <c r="N7" s="25">
        <f t="shared" si="2"/>
        <v>154439.88836166094</v>
      </c>
      <c r="O7" s="10">
        <f t="shared" si="3"/>
        <v>0.3597523426605353</v>
      </c>
      <c r="P7" s="24">
        <v>210000</v>
      </c>
      <c r="Q7" s="11">
        <f t="shared" si="4"/>
        <v>55560.111638339062</v>
      </c>
      <c r="R7" s="8" t="s">
        <v>11</v>
      </c>
      <c r="S7" s="3" t="s">
        <v>257</v>
      </c>
      <c r="T7" s="3" t="s">
        <v>186</v>
      </c>
      <c r="U7" s="3">
        <v>2024</v>
      </c>
      <c r="V7" s="5" t="str">
        <f t="shared" si="5"/>
        <v>SI</v>
      </c>
    </row>
    <row r="8" spans="1:22" x14ac:dyDescent="0.25">
      <c r="A8" s="4" t="s">
        <v>275</v>
      </c>
      <c r="B8" s="16">
        <v>45484</v>
      </c>
      <c r="C8" s="8" t="s">
        <v>14</v>
      </c>
      <c r="D8" s="8" t="s">
        <v>13</v>
      </c>
      <c r="E8" s="7" t="s">
        <v>256</v>
      </c>
      <c r="F8" s="8">
        <v>24.99</v>
      </c>
      <c r="G8" s="8">
        <v>0</v>
      </c>
      <c r="H8" s="8">
        <v>0</v>
      </c>
      <c r="I8" s="27">
        <v>12100</v>
      </c>
      <c r="J8" s="8">
        <v>1</v>
      </c>
      <c r="K8" s="21">
        <f t="shared" si="0"/>
        <v>24.99</v>
      </c>
      <c r="L8" s="26">
        <v>4068.0162435456114</v>
      </c>
      <c r="M8" s="24">
        <f t="shared" si="1"/>
        <v>113759.72592620482</v>
      </c>
      <c r="N8" s="25">
        <f t="shared" si="2"/>
        <v>113759.72592620482</v>
      </c>
      <c r="O8" s="10">
        <f t="shared" si="3"/>
        <v>0.67018686493014012</v>
      </c>
      <c r="P8" s="24">
        <v>190000</v>
      </c>
      <c r="Q8" s="11">
        <f t="shared" si="4"/>
        <v>76240.274073795183</v>
      </c>
      <c r="R8" s="8" t="s">
        <v>184</v>
      </c>
      <c r="S8" s="3"/>
      <c r="T8" s="3"/>
      <c r="U8" s="3">
        <v>2024</v>
      </c>
      <c r="V8" s="5" t="str">
        <f t="shared" si="5"/>
        <v>SI</v>
      </c>
    </row>
    <row r="9" spans="1:22" x14ac:dyDescent="0.25">
      <c r="A9" s="4" t="s">
        <v>275</v>
      </c>
      <c r="B9" s="16">
        <v>45484</v>
      </c>
      <c r="C9" s="8" t="s">
        <v>14</v>
      </c>
      <c r="D9" s="8" t="s">
        <v>13</v>
      </c>
      <c r="E9" s="7" t="s">
        <v>255</v>
      </c>
      <c r="F9" s="8">
        <v>24.99</v>
      </c>
      <c r="G9" s="8">
        <v>0</v>
      </c>
      <c r="H9" s="8">
        <v>0</v>
      </c>
      <c r="I9" s="27">
        <v>12100</v>
      </c>
      <c r="J9" s="8">
        <v>1</v>
      </c>
      <c r="K9" s="21">
        <f t="shared" si="0"/>
        <v>24.99</v>
      </c>
      <c r="L9" s="26">
        <v>4068.0162435456114</v>
      </c>
      <c r="M9" s="24">
        <f t="shared" si="1"/>
        <v>113759.72592620482</v>
      </c>
      <c r="N9" s="25">
        <f t="shared" si="2"/>
        <v>113759.72592620482</v>
      </c>
      <c r="O9" s="10">
        <f t="shared" si="3"/>
        <v>0.67018686493014012</v>
      </c>
      <c r="P9" s="24">
        <v>190000</v>
      </c>
      <c r="Q9" s="11">
        <f t="shared" si="4"/>
        <v>76240.274073795183</v>
      </c>
      <c r="R9" s="8" t="s">
        <v>184</v>
      </c>
      <c r="S9" s="3"/>
      <c r="T9" s="3"/>
      <c r="U9" s="3">
        <v>2024</v>
      </c>
      <c r="V9" s="5" t="str">
        <f t="shared" si="5"/>
        <v>SI</v>
      </c>
    </row>
    <row r="10" spans="1:22" x14ac:dyDescent="0.25">
      <c r="A10" s="4" t="s">
        <v>275</v>
      </c>
      <c r="B10" s="16">
        <v>45484</v>
      </c>
      <c r="C10" s="8" t="s">
        <v>14</v>
      </c>
      <c r="D10" s="8" t="s">
        <v>13</v>
      </c>
      <c r="E10" s="7" t="s">
        <v>254</v>
      </c>
      <c r="F10" s="8">
        <v>24.99</v>
      </c>
      <c r="G10" s="8">
        <v>0</v>
      </c>
      <c r="H10" s="8">
        <v>0</v>
      </c>
      <c r="I10" s="27">
        <v>12100</v>
      </c>
      <c r="J10" s="8">
        <v>1</v>
      </c>
      <c r="K10" s="21">
        <f t="shared" si="0"/>
        <v>24.99</v>
      </c>
      <c r="L10" s="26">
        <v>4068.0162435456114</v>
      </c>
      <c r="M10" s="24">
        <f t="shared" si="1"/>
        <v>113759.72592620482</v>
      </c>
      <c r="N10" s="25">
        <f t="shared" si="2"/>
        <v>113759.72592620482</v>
      </c>
      <c r="O10" s="10">
        <f t="shared" si="3"/>
        <v>0.67018686493014012</v>
      </c>
      <c r="P10" s="24">
        <v>190000</v>
      </c>
      <c r="Q10" s="11">
        <f t="shared" si="4"/>
        <v>76240.274073795183</v>
      </c>
      <c r="R10" s="8" t="s">
        <v>184</v>
      </c>
      <c r="S10" s="3"/>
      <c r="T10" s="3"/>
      <c r="U10" s="3">
        <v>2024</v>
      </c>
      <c r="V10" s="5" t="str">
        <f t="shared" si="5"/>
        <v>SI</v>
      </c>
    </row>
    <row r="11" spans="1:22" x14ac:dyDescent="0.25">
      <c r="A11" s="4" t="s">
        <v>275</v>
      </c>
      <c r="B11" s="16">
        <v>45484</v>
      </c>
      <c r="C11" s="8" t="s">
        <v>14</v>
      </c>
      <c r="D11" s="8" t="s">
        <v>13</v>
      </c>
      <c r="E11" s="7" t="s">
        <v>253</v>
      </c>
      <c r="F11" s="8">
        <v>24.99</v>
      </c>
      <c r="G11" s="8">
        <v>0</v>
      </c>
      <c r="H11" s="8">
        <v>0</v>
      </c>
      <c r="I11" s="27">
        <v>12100</v>
      </c>
      <c r="J11" s="8">
        <v>1</v>
      </c>
      <c r="K11" s="21">
        <f t="shared" si="0"/>
        <v>24.99</v>
      </c>
      <c r="L11" s="26">
        <v>4068.0162435456114</v>
      </c>
      <c r="M11" s="24">
        <f t="shared" si="1"/>
        <v>113759.72592620482</v>
      </c>
      <c r="N11" s="25">
        <f t="shared" si="2"/>
        <v>113759.72592620482</v>
      </c>
      <c r="O11" s="10">
        <f t="shared" si="3"/>
        <v>0.67018686493014012</v>
      </c>
      <c r="P11" s="24">
        <v>190000</v>
      </c>
      <c r="Q11" s="11">
        <f t="shared" si="4"/>
        <v>76240.274073795183</v>
      </c>
      <c r="R11" s="8" t="s">
        <v>184</v>
      </c>
      <c r="S11" s="3"/>
      <c r="T11" s="3"/>
      <c r="U11" s="3">
        <v>2024</v>
      </c>
      <c r="V11" s="5" t="str">
        <f t="shared" si="5"/>
        <v>SI</v>
      </c>
    </row>
    <row r="12" spans="1:22" x14ac:dyDescent="0.25">
      <c r="A12" s="4" t="s">
        <v>275</v>
      </c>
      <c r="B12" s="16">
        <v>45484</v>
      </c>
      <c r="C12" s="8" t="s">
        <v>14</v>
      </c>
      <c r="D12" s="8" t="s">
        <v>13</v>
      </c>
      <c r="E12" s="7" t="s">
        <v>252</v>
      </c>
      <c r="F12" s="8">
        <v>24.99</v>
      </c>
      <c r="G12" s="8">
        <v>0</v>
      </c>
      <c r="H12" s="8">
        <v>0</v>
      </c>
      <c r="I12" s="27">
        <v>12100</v>
      </c>
      <c r="J12" s="8">
        <v>1</v>
      </c>
      <c r="K12" s="21">
        <f t="shared" si="0"/>
        <v>24.99</v>
      </c>
      <c r="L12" s="26">
        <v>4068.0162435456114</v>
      </c>
      <c r="M12" s="24">
        <f t="shared" si="1"/>
        <v>113759.72592620482</v>
      </c>
      <c r="N12" s="25">
        <f t="shared" si="2"/>
        <v>113759.72592620482</v>
      </c>
      <c r="O12" s="10">
        <f t="shared" si="3"/>
        <v>0.58228229309171164</v>
      </c>
      <c r="P12" s="24">
        <v>180000</v>
      </c>
      <c r="Q12" s="11">
        <f t="shared" si="4"/>
        <v>66240.274073795183</v>
      </c>
      <c r="R12" s="8" t="s">
        <v>11</v>
      </c>
      <c r="S12" s="3" t="s">
        <v>251</v>
      </c>
      <c r="T12" s="3" t="s">
        <v>84</v>
      </c>
      <c r="U12" s="3">
        <v>2024</v>
      </c>
      <c r="V12" s="5" t="str">
        <f t="shared" si="5"/>
        <v>SI</v>
      </c>
    </row>
    <row r="13" spans="1:22" x14ac:dyDescent="0.25">
      <c r="A13" s="4" t="s">
        <v>277</v>
      </c>
      <c r="B13" s="16">
        <v>45484</v>
      </c>
      <c r="C13" s="8" t="s">
        <v>30</v>
      </c>
      <c r="D13" s="8" t="s">
        <v>13</v>
      </c>
      <c r="E13" s="7" t="s">
        <v>250</v>
      </c>
      <c r="F13" s="8">
        <v>17.989999999999998</v>
      </c>
      <c r="G13" s="8">
        <v>0</v>
      </c>
      <c r="H13" s="8">
        <v>0</v>
      </c>
      <c r="I13" s="27">
        <v>12100</v>
      </c>
      <c r="J13" s="8">
        <v>1</v>
      </c>
      <c r="K13" s="21">
        <f t="shared" si="0"/>
        <v>17.989999999999998</v>
      </c>
      <c r="L13" s="26">
        <v>4068.0162435456114</v>
      </c>
      <c r="M13" s="24">
        <f t="shared" si="1"/>
        <v>85283.612221385541</v>
      </c>
      <c r="N13" s="25">
        <f t="shared" si="2"/>
        <v>85283.612221385541</v>
      </c>
      <c r="O13" s="10">
        <f t="shared" si="3"/>
        <v>0.7588373204762815</v>
      </c>
      <c r="P13" s="24">
        <v>150000</v>
      </c>
      <c r="Q13" s="11">
        <f t="shared" si="4"/>
        <v>64716.387778614459</v>
      </c>
      <c r="R13" s="8" t="s">
        <v>11</v>
      </c>
      <c r="S13" s="3" t="s">
        <v>249</v>
      </c>
      <c r="T13" s="3" t="s">
        <v>186</v>
      </c>
      <c r="U13" s="3">
        <v>2024</v>
      </c>
      <c r="V13" s="5" t="str">
        <f t="shared" si="5"/>
        <v>SI</v>
      </c>
    </row>
    <row r="14" spans="1:22" x14ac:dyDescent="0.25">
      <c r="A14" s="4" t="s">
        <v>277</v>
      </c>
      <c r="B14" s="16">
        <v>45484</v>
      </c>
      <c r="C14" s="8" t="s">
        <v>30</v>
      </c>
      <c r="D14" s="8" t="s">
        <v>13</v>
      </c>
      <c r="E14" s="7" t="s">
        <v>248</v>
      </c>
      <c r="F14" s="8">
        <v>17.989999999999998</v>
      </c>
      <c r="G14" s="8">
        <v>0</v>
      </c>
      <c r="H14" s="8">
        <v>0</v>
      </c>
      <c r="I14" s="27">
        <v>12100</v>
      </c>
      <c r="J14" s="8">
        <v>1</v>
      </c>
      <c r="K14" s="21">
        <f t="shared" si="0"/>
        <v>17.989999999999998</v>
      </c>
      <c r="L14" s="26">
        <v>4068.0162435456114</v>
      </c>
      <c r="M14" s="24">
        <f t="shared" si="1"/>
        <v>85283.612221385541</v>
      </c>
      <c r="N14" s="25">
        <f t="shared" si="2"/>
        <v>85283.612221385541</v>
      </c>
      <c r="O14" s="10">
        <f t="shared" si="3"/>
        <v>0.7588373204762815</v>
      </c>
      <c r="P14" s="24">
        <v>150000</v>
      </c>
      <c r="Q14" s="11">
        <f t="shared" si="4"/>
        <v>64716.387778614459</v>
      </c>
      <c r="R14" s="8" t="s">
        <v>11</v>
      </c>
      <c r="S14" s="3" t="s">
        <v>247</v>
      </c>
      <c r="T14" s="3" t="s">
        <v>186</v>
      </c>
      <c r="U14" s="3">
        <v>2024</v>
      </c>
      <c r="V14" s="5" t="str">
        <f t="shared" si="5"/>
        <v>SI</v>
      </c>
    </row>
    <row r="15" spans="1:22" x14ac:dyDescent="0.25">
      <c r="A15" s="4" t="s">
        <v>277</v>
      </c>
      <c r="B15" s="16">
        <v>45484</v>
      </c>
      <c r="C15" s="8" t="s">
        <v>30</v>
      </c>
      <c r="D15" s="8" t="s">
        <v>13</v>
      </c>
      <c r="E15" s="7" t="s">
        <v>246</v>
      </c>
      <c r="F15" s="8">
        <v>17.989999999999998</v>
      </c>
      <c r="G15" s="8">
        <v>0</v>
      </c>
      <c r="H15" s="8">
        <v>0</v>
      </c>
      <c r="I15" s="27">
        <v>12100</v>
      </c>
      <c r="J15" s="8">
        <v>1</v>
      </c>
      <c r="K15" s="21">
        <f t="shared" si="0"/>
        <v>17.989999999999998</v>
      </c>
      <c r="L15" s="26">
        <v>4068.0162435456114</v>
      </c>
      <c r="M15" s="24">
        <f t="shared" si="1"/>
        <v>85283.612221385541</v>
      </c>
      <c r="N15" s="25">
        <f t="shared" si="2"/>
        <v>85283.612221385541</v>
      </c>
      <c r="O15" s="10">
        <f t="shared" si="3"/>
        <v>0.99334896320645238</v>
      </c>
      <c r="P15" s="24">
        <v>170000</v>
      </c>
      <c r="Q15" s="11">
        <f t="shared" si="4"/>
        <v>84716.387778614459</v>
      </c>
      <c r="R15" s="8" t="s">
        <v>11</v>
      </c>
      <c r="S15" s="3" t="s">
        <v>245</v>
      </c>
      <c r="T15" s="3" t="s">
        <v>186</v>
      </c>
      <c r="U15" s="3">
        <v>2024</v>
      </c>
      <c r="V15" s="5" t="str">
        <f t="shared" si="5"/>
        <v>SI</v>
      </c>
    </row>
    <row r="16" spans="1:22" x14ac:dyDescent="0.25">
      <c r="A16" s="4" t="s">
        <v>277</v>
      </c>
      <c r="B16" s="16">
        <v>45484</v>
      </c>
      <c r="C16" s="8" t="s">
        <v>30</v>
      </c>
      <c r="D16" s="8" t="s">
        <v>13</v>
      </c>
      <c r="E16" s="7" t="s">
        <v>244</v>
      </c>
      <c r="F16" s="8">
        <v>17.989999999999998</v>
      </c>
      <c r="G16" s="8">
        <v>0</v>
      </c>
      <c r="H16" s="8">
        <v>0</v>
      </c>
      <c r="I16" s="27">
        <v>12100</v>
      </c>
      <c r="J16" s="8">
        <v>1</v>
      </c>
      <c r="K16" s="21">
        <f t="shared" si="0"/>
        <v>17.989999999999998</v>
      </c>
      <c r="L16" s="26">
        <v>4068.0162435456114</v>
      </c>
      <c r="M16" s="24">
        <f t="shared" si="1"/>
        <v>85283.612221385541</v>
      </c>
      <c r="N16" s="25">
        <f t="shared" si="2"/>
        <v>85283.612221385541</v>
      </c>
      <c r="O16" s="10">
        <f t="shared" si="3"/>
        <v>0.7588373204762815</v>
      </c>
      <c r="P16" s="24">
        <v>150000</v>
      </c>
      <c r="Q16" s="11">
        <f t="shared" si="4"/>
        <v>64716.387778614459</v>
      </c>
      <c r="R16" s="8" t="s">
        <v>11</v>
      </c>
      <c r="S16" s="3" t="s">
        <v>243</v>
      </c>
      <c r="T16" s="3" t="s">
        <v>186</v>
      </c>
      <c r="U16" s="3">
        <v>2024</v>
      </c>
      <c r="V16" s="5" t="str">
        <f t="shared" si="5"/>
        <v>SI</v>
      </c>
    </row>
    <row r="17" spans="1:22" x14ac:dyDescent="0.25">
      <c r="A17" s="4" t="s">
        <v>277</v>
      </c>
      <c r="B17" s="16">
        <v>45484</v>
      </c>
      <c r="C17" s="8" t="s">
        <v>30</v>
      </c>
      <c r="D17" s="8" t="s">
        <v>13</v>
      </c>
      <c r="E17" s="7" t="s">
        <v>242</v>
      </c>
      <c r="F17" s="8">
        <v>17.989999999999998</v>
      </c>
      <c r="G17" s="8">
        <v>0</v>
      </c>
      <c r="H17" s="8">
        <v>0</v>
      </c>
      <c r="I17" s="27">
        <v>12100</v>
      </c>
      <c r="J17" s="8">
        <v>1</v>
      </c>
      <c r="K17" s="21">
        <f t="shared" si="0"/>
        <v>17.989999999999998</v>
      </c>
      <c r="L17" s="26">
        <v>4068.0162435456114</v>
      </c>
      <c r="M17" s="24">
        <f t="shared" si="1"/>
        <v>85283.612221385541</v>
      </c>
      <c r="N17" s="25">
        <f t="shared" si="2"/>
        <v>85283.612221385541</v>
      </c>
      <c r="O17" s="10">
        <f t="shared" si="3"/>
        <v>0.7588373204762815</v>
      </c>
      <c r="P17" s="24">
        <v>150000</v>
      </c>
      <c r="Q17" s="11">
        <f t="shared" si="4"/>
        <v>64716.387778614459</v>
      </c>
      <c r="R17" s="8" t="s">
        <v>11</v>
      </c>
      <c r="S17" s="3" t="s">
        <v>241</v>
      </c>
      <c r="T17" s="3" t="s">
        <v>186</v>
      </c>
      <c r="U17" s="3">
        <v>2024</v>
      </c>
      <c r="V17" s="5" t="str">
        <f t="shared" si="5"/>
        <v>SI</v>
      </c>
    </row>
    <row r="18" spans="1:22" x14ac:dyDescent="0.25">
      <c r="A18" s="4" t="s">
        <v>277</v>
      </c>
      <c r="B18" s="16">
        <v>45484</v>
      </c>
      <c r="C18" s="8" t="s">
        <v>30</v>
      </c>
      <c r="D18" s="8" t="s">
        <v>13</v>
      </c>
      <c r="E18" s="7" t="s">
        <v>240</v>
      </c>
      <c r="F18" s="8">
        <v>17.989999999999998</v>
      </c>
      <c r="G18" s="8">
        <v>0</v>
      </c>
      <c r="H18" s="8">
        <v>0</v>
      </c>
      <c r="I18" s="27">
        <v>12100</v>
      </c>
      <c r="J18" s="8">
        <v>1</v>
      </c>
      <c r="K18" s="21">
        <f t="shared" si="0"/>
        <v>17.989999999999998</v>
      </c>
      <c r="L18" s="26">
        <v>4068.0162435456114</v>
      </c>
      <c r="M18" s="24">
        <f t="shared" si="1"/>
        <v>85283.612221385541</v>
      </c>
      <c r="N18" s="25">
        <f t="shared" si="2"/>
        <v>85283.612221385541</v>
      </c>
      <c r="O18" s="10">
        <f t="shared" si="3"/>
        <v>0.7588373204762815</v>
      </c>
      <c r="P18" s="24">
        <v>150000</v>
      </c>
      <c r="Q18" s="11">
        <f t="shared" si="4"/>
        <v>64716.387778614459</v>
      </c>
      <c r="R18" s="8" t="s">
        <v>11</v>
      </c>
      <c r="S18" s="3" t="s">
        <v>239</v>
      </c>
      <c r="T18" s="3" t="s">
        <v>84</v>
      </c>
      <c r="U18" s="3">
        <v>2024</v>
      </c>
      <c r="V18" s="5" t="str">
        <f t="shared" si="5"/>
        <v>SI</v>
      </c>
    </row>
    <row r="19" spans="1:22" x14ac:dyDescent="0.25">
      <c r="A19" s="4" t="s">
        <v>277</v>
      </c>
      <c r="B19" s="16">
        <v>45484</v>
      </c>
      <c r="C19" s="8" t="s">
        <v>30</v>
      </c>
      <c r="D19" s="8" t="s">
        <v>13</v>
      </c>
      <c r="E19" s="7" t="s">
        <v>238</v>
      </c>
      <c r="F19" s="8">
        <v>17.989999999999998</v>
      </c>
      <c r="G19" s="8">
        <v>0</v>
      </c>
      <c r="H19" s="8">
        <v>0</v>
      </c>
      <c r="I19" s="27">
        <v>12100</v>
      </c>
      <c r="J19" s="8">
        <v>1</v>
      </c>
      <c r="K19" s="21">
        <f t="shared" si="0"/>
        <v>17.989999999999998</v>
      </c>
      <c r="L19" s="26">
        <v>4068.0162435456114</v>
      </c>
      <c r="M19" s="24">
        <f t="shared" si="1"/>
        <v>85283.612221385541</v>
      </c>
      <c r="N19" s="25">
        <f t="shared" si="2"/>
        <v>85283.612221385541</v>
      </c>
      <c r="O19" s="10">
        <f t="shared" si="3"/>
        <v>0.99334896320645238</v>
      </c>
      <c r="P19" s="24">
        <v>170000</v>
      </c>
      <c r="Q19" s="11">
        <f t="shared" si="4"/>
        <v>84716.387778614459</v>
      </c>
      <c r="R19" s="8" t="s">
        <v>11</v>
      </c>
      <c r="S19" s="3" t="s">
        <v>237</v>
      </c>
      <c r="T19" s="3" t="s">
        <v>186</v>
      </c>
      <c r="U19" s="3">
        <v>2024</v>
      </c>
      <c r="V19" s="5" t="str">
        <f t="shared" si="5"/>
        <v>SI</v>
      </c>
    </row>
    <row r="20" spans="1:22" x14ac:dyDescent="0.25">
      <c r="A20" s="4" t="s">
        <v>278</v>
      </c>
      <c r="B20" s="16">
        <v>45484</v>
      </c>
      <c r="C20" s="8" t="s">
        <v>32</v>
      </c>
      <c r="D20" s="8" t="s">
        <v>13</v>
      </c>
      <c r="E20" s="7" t="s">
        <v>236</v>
      </c>
      <c r="F20" s="8">
        <v>14.99</v>
      </c>
      <c r="G20" s="8">
        <v>0</v>
      </c>
      <c r="H20" s="8">
        <v>0</v>
      </c>
      <c r="I20" s="27">
        <v>12100</v>
      </c>
      <c r="J20" s="8">
        <v>1</v>
      </c>
      <c r="K20" s="21">
        <f t="shared" si="0"/>
        <v>14.99</v>
      </c>
      <c r="L20" s="26">
        <v>4068.0162435456114</v>
      </c>
      <c r="M20" s="24">
        <f t="shared" si="1"/>
        <v>73079.563490748726</v>
      </c>
      <c r="N20" s="25">
        <f t="shared" si="2"/>
        <v>73079.563490748726</v>
      </c>
      <c r="O20" s="10">
        <f t="shared" si="3"/>
        <v>1.1893945770523751</v>
      </c>
      <c r="P20" s="24">
        <v>160000</v>
      </c>
      <c r="Q20" s="11">
        <f t="shared" si="4"/>
        <v>86920.436509251274</v>
      </c>
      <c r="R20" s="8" t="s">
        <v>184</v>
      </c>
      <c r="S20" s="3"/>
      <c r="T20" s="3"/>
      <c r="U20" s="3">
        <v>2024</v>
      </c>
      <c r="V20" s="5" t="str">
        <f t="shared" si="5"/>
        <v>SI</v>
      </c>
    </row>
    <row r="21" spans="1:22" x14ac:dyDescent="0.25">
      <c r="A21" s="4" t="s">
        <v>278</v>
      </c>
      <c r="B21" s="16">
        <v>45484</v>
      </c>
      <c r="C21" s="8" t="s">
        <v>32</v>
      </c>
      <c r="D21" s="8" t="s">
        <v>13</v>
      </c>
      <c r="E21" s="7" t="s">
        <v>235</v>
      </c>
      <c r="F21" s="8">
        <v>14.99</v>
      </c>
      <c r="G21" s="8">
        <v>0</v>
      </c>
      <c r="H21" s="8">
        <v>0</v>
      </c>
      <c r="I21" s="27">
        <v>12100</v>
      </c>
      <c r="J21" s="8">
        <v>1</v>
      </c>
      <c r="K21" s="21">
        <f t="shared" si="0"/>
        <v>14.99</v>
      </c>
      <c r="L21" s="26">
        <v>4068.0162435456114</v>
      </c>
      <c r="M21" s="24">
        <f t="shared" si="1"/>
        <v>73079.563490748726</v>
      </c>
      <c r="N21" s="25">
        <f t="shared" si="2"/>
        <v>73079.563490748726</v>
      </c>
      <c r="O21" s="10">
        <f t="shared" si="3"/>
        <v>1.1893945770523751</v>
      </c>
      <c r="P21" s="24">
        <v>160000</v>
      </c>
      <c r="Q21" s="11">
        <f t="shared" si="4"/>
        <v>86920.436509251274</v>
      </c>
      <c r="R21" s="8" t="s">
        <v>184</v>
      </c>
      <c r="S21" s="3"/>
      <c r="T21" s="3"/>
      <c r="U21" s="3">
        <v>2024</v>
      </c>
      <c r="V21" s="5" t="str">
        <f t="shared" si="5"/>
        <v>SI</v>
      </c>
    </row>
    <row r="22" spans="1:22" x14ac:dyDescent="0.25">
      <c r="A22" s="4" t="s">
        <v>278</v>
      </c>
      <c r="B22" s="16">
        <v>45484</v>
      </c>
      <c r="C22" s="8" t="s">
        <v>32</v>
      </c>
      <c r="D22" s="8" t="s">
        <v>13</v>
      </c>
      <c r="E22" s="7" t="s">
        <v>234</v>
      </c>
      <c r="F22" s="8">
        <v>14.99</v>
      </c>
      <c r="G22" s="8">
        <v>0</v>
      </c>
      <c r="H22" s="8">
        <v>0</v>
      </c>
      <c r="I22" s="27">
        <v>12100</v>
      </c>
      <c r="J22" s="8">
        <v>1</v>
      </c>
      <c r="K22" s="21">
        <f t="shared" si="0"/>
        <v>14.99</v>
      </c>
      <c r="L22" s="26">
        <v>4068.0162435456114</v>
      </c>
      <c r="M22" s="24">
        <f t="shared" si="1"/>
        <v>73079.563490748726</v>
      </c>
      <c r="N22" s="25">
        <f t="shared" si="2"/>
        <v>73079.563490748726</v>
      </c>
      <c r="O22" s="10">
        <f t="shared" si="3"/>
        <v>1.1893945770523751</v>
      </c>
      <c r="P22" s="24">
        <v>160000</v>
      </c>
      <c r="Q22" s="11">
        <f t="shared" si="4"/>
        <v>86920.436509251274</v>
      </c>
      <c r="R22" s="8" t="s">
        <v>184</v>
      </c>
      <c r="S22" s="3"/>
      <c r="T22" s="3"/>
      <c r="U22" s="3">
        <v>2024</v>
      </c>
      <c r="V22" s="5" t="str">
        <f t="shared" si="5"/>
        <v>SI</v>
      </c>
    </row>
    <row r="23" spans="1:22" x14ac:dyDescent="0.25">
      <c r="A23" s="4" t="s">
        <v>276</v>
      </c>
      <c r="B23" s="16">
        <v>45484</v>
      </c>
      <c r="C23" s="8" t="s">
        <v>93</v>
      </c>
      <c r="D23" s="8" t="s">
        <v>13</v>
      </c>
      <c r="E23" s="7" t="s">
        <v>233</v>
      </c>
      <c r="F23" s="8">
        <v>34.99</v>
      </c>
      <c r="G23" s="8">
        <v>0</v>
      </c>
      <c r="H23" s="8">
        <v>0</v>
      </c>
      <c r="I23" s="27">
        <v>12100</v>
      </c>
      <c r="J23" s="8">
        <v>1</v>
      </c>
      <c r="K23" s="21">
        <f t="shared" si="0"/>
        <v>34.99</v>
      </c>
      <c r="L23" s="26">
        <v>4185.54</v>
      </c>
      <c r="M23" s="24">
        <f t="shared" si="1"/>
        <v>158552.04459999999</v>
      </c>
      <c r="N23" s="25">
        <f t="shared" si="2"/>
        <v>158552.04459999999</v>
      </c>
      <c r="O23" s="10">
        <f t="shared" si="3"/>
        <v>0.32448623119174841</v>
      </c>
      <c r="P23" s="24">
        <v>210000</v>
      </c>
      <c r="Q23" s="11">
        <f t="shared" si="4"/>
        <v>51447.955400000006</v>
      </c>
      <c r="R23" s="8" t="s">
        <v>184</v>
      </c>
      <c r="S23" s="3"/>
      <c r="T23" s="3"/>
      <c r="U23" s="3">
        <v>2024</v>
      </c>
      <c r="V23" s="5" t="str">
        <f t="shared" si="5"/>
        <v>SI</v>
      </c>
    </row>
    <row r="24" spans="1:22" x14ac:dyDescent="0.25">
      <c r="A24" s="4" t="s">
        <v>276</v>
      </c>
      <c r="B24" s="16">
        <v>45484</v>
      </c>
      <c r="C24" s="8" t="s">
        <v>93</v>
      </c>
      <c r="D24" s="8" t="s">
        <v>13</v>
      </c>
      <c r="E24" s="7" t="s">
        <v>232</v>
      </c>
      <c r="F24" s="8">
        <v>34.99</v>
      </c>
      <c r="G24" s="8">
        <v>0</v>
      </c>
      <c r="H24" s="8">
        <v>0</v>
      </c>
      <c r="I24" s="27">
        <v>12100</v>
      </c>
      <c r="J24" s="8">
        <v>1</v>
      </c>
      <c r="K24" s="21">
        <f t="shared" si="0"/>
        <v>34.99</v>
      </c>
      <c r="L24" s="26">
        <v>4185.54</v>
      </c>
      <c r="M24" s="24">
        <f t="shared" si="1"/>
        <v>158552.04459999999</v>
      </c>
      <c r="N24" s="25">
        <f t="shared" si="2"/>
        <v>158552.04459999999</v>
      </c>
      <c r="O24" s="10">
        <f t="shared" si="3"/>
        <v>0.32448623119174841</v>
      </c>
      <c r="P24" s="24">
        <v>210000</v>
      </c>
      <c r="Q24" s="11">
        <f t="shared" si="4"/>
        <v>51447.955400000006</v>
      </c>
      <c r="R24" s="8" t="s">
        <v>184</v>
      </c>
      <c r="S24" s="3"/>
      <c r="T24" s="3"/>
      <c r="U24" s="3">
        <v>2024</v>
      </c>
      <c r="V24" s="5" t="str">
        <f t="shared" si="5"/>
        <v>SI</v>
      </c>
    </row>
    <row r="25" spans="1:22" x14ac:dyDescent="0.25">
      <c r="A25" s="4" t="s">
        <v>276</v>
      </c>
      <c r="B25" s="16">
        <v>45484</v>
      </c>
      <c r="C25" s="8" t="s">
        <v>93</v>
      </c>
      <c r="D25" s="8" t="s">
        <v>13</v>
      </c>
      <c r="E25" s="7" t="s">
        <v>231</v>
      </c>
      <c r="F25" s="8">
        <v>34.99</v>
      </c>
      <c r="G25" s="8">
        <v>0</v>
      </c>
      <c r="H25" s="8">
        <v>0</v>
      </c>
      <c r="I25" s="27">
        <v>12100</v>
      </c>
      <c r="J25" s="8">
        <v>1</v>
      </c>
      <c r="K25" s="21">
        <f t="shared" si="0"/>
        <v>34.99</v>
      </c>
      <c r="L25" s="26">
        <v>4185.54</v>
      </c>
      <c r="M25" s="24">
        <f t="shared" si="1"/>
        <v>158552.04459999999</v>
      </c>
      <c r="N25" s="25">
        <f t="shared" si="2"/>
        <v>158552.04459999999</v>
      </c>
      <c r="O25" s="10">
        <f t="shared" si="3"/>
        <v>0.32448623119174841</v>
      </c>
      <c r="P25" s="24">
        <v>210000</v>
      </c>
      <c r="Q25" s="11">
        <f t="shared" si="4"/>
        <v>51447.955400000006</v>
      </c>
      <c r="R25" s="8" t="s">
        <v>184</v>
      </c>
      <c r="S25" s="3"/>
      <c r="T25" s="3"/>
      <c r="U25" s="3">
        <v>2024</v>
      </c>
      <c r="V25" s="5" t="str">
        <f t="shared" si="5"/>
        <v>SI</v>
      </c>
    </row>
    <row r="26" spans="1:22" x14ac:dyDescent="0.25">
      <c r="A26" s="4" t="s">
        <v>275</v>
      </c>
      <c r="B26" s="16">
        <v>45484</v>
      </c>
      <c r="C26" s="8" t="s">
        <v>14</v>
      </c>
      <c r="D26" s="8" t="s">
        <v>13</v>
      </c>
      <c r="E26" s="7" t="s">
        <v>230</v>
      </c>
      <c r="F26" s="8">
        <v>24.99</v>
      </c>
      <c r="G26" s="8">
        <v>0</v>
      </c>
      <c r="H26" s="8">
        <v>0</v>
      </c>
      <c r="I26" s="27">
        <v>12100</v>
      </c>
      <c r="J26" s="8">
        <v>1</v>
      </c>
      <c r="K26" s="21">
        <f t="shared" si="0"/>
        <v>24.99</v>
      </c>
      <c r="L26" s="26">
        <v>4185.54</v>
      </c>
      <c r="M26" s="24">
        <f t="shared" si="1"/>
        <v>116696.6446</v>
      </c>
      <c r="N26" s="25">
        <f t="shared" si="2"/>
        <v>116696.6446</v>
      </c>
      <c r="O26" s="10">
        <f t="shared" si="3"/>
        <v>0.5424608018249738</v>
      </c>
      <c r="P26" s="24">
        <v>180000</v>
      </c>
      <c r="Q26" s="11">
        <f t="shared" si="4"/>
        <v>63303.3554</v>
      </c>
      <c r="R26" s="8" t="s">
        <v>11</v>
      </c>
      <c r="S26" s="3" t="s">
        <v>229</v>
      </c>
      <c r="T26" s="3" t="s">
        <v>181</v>
      </c>
      <c r="U26" s="3">
        <v>2024</v>
      </c>
      <c r="V26" s="5" t="str">
        <f t="shared" si="5"/>
        <v>SI</v>
      </c>
    </row>
    <row r="27" spans="1:22" x14ac:dyDescent="0.25">
      <c r="A27" s="4" t="s">
        <v>275</v>
      </c>
      <c r="B27" s="16">
        <v>45484</v>
      </c>
      <c r="C27" s="8" t="s">
        <v>14</v>
      </c>
      <c r="D27" s="8" t="s">
        <v>13</v>
      </c>
      <c r="E27" s="7" t="s">
        <v>228</v>
      </c>
      <c r="F27" s="8">
        <v>24.99</v>
      </c>
      <c r="G27" s="8">
        <v>0</v>
      </c>
      <c r="H27" s="8">
        <v>0</v>
      </c>
      <c r="I27" s="27">
        <v>12100</v>
      </c>
      <c r="J27" s="8">
        <v>1</v>
      </c>
      <c r="K27" s="21">
        <f t="shared" si="0"/>
        <v>24.99</v>
      </c>
      <c r="L27" s="26">
        <v>4185.54</v>
      </c>
      <c r="M27" s="24">
        <f t="shared" si="1"/>
        <v>116696.6446</v>
      </c>
      <c r="N27" s="25">
        <f t="shared" si="2"/>
        <v>116696.6446</v>
      </c>
      <c r="O27" s="10">
        <f t="shared" si="3"/>
        <v>0.62815306859302789</v>
      </c>
      <c r="P27" s="24">
        <v>190000</v>
      </c>
      <c r="Q27" s="11">
        <f t="shared" si="4"/>
        <v>73303.3554</v>
      </c>
      <c r="R27" s="8" t="s">
        <v>11</v>
      </c>
      <c r="S27" s="3" t="s">
        <v>227</v>
      </c>
      <c r="T27" s="3" t="s">
        <v>186</v>
      </c>
      <c r="U27" s="3">
        <v>2024</v>
      </c>
      <c r="V27" s="5" t="str">
        <f t="shared" si="5"/>
        <v>SI</v>
      </c>
    </row>
    <row r="28" spans="1:22" x14ac:dyDescent="0.25">
      <c r="A28" s="4" t="s">
        <v>275</v>
      </c>
      <c r="B28" s="16">
        <v>45484</v>
      </c>
      <c r="C28" s="8" t="s">
        <v>14</v>
      </c>
      <c r="D28" s="8" t="s">
        <v>13</v>
      </c>
      <c r="E28" s="7" t="s">
        <v>226</v>
      </c>
      <c r="F28" s="8">
        <v>24.99</v>
      </c>
      <c r="G28" s="8">
        <v>0</v>
      </c>
      <c r="H28" s="8">
        <v>0</v>
      </c>
      <c r="I28" s="27">
        <v>12100</v>
      </c>
      <c r="J28" s="8">
        <v>1</v>
      </c>
      <c r="K28" s="21">
        <f t="shared" si="0"/>
        <v>24.99</v>
      </c>
      <c r="L28" s="26">
        <v>4185.54</v>
      </c>
      <c r="M28" s="24">
        <f t="shared" si="1"/>
        <v>116696.6446</v>
      </c>
      <c r="N28" s="25">
        <f t="shared" si="2"/>
        <v>116696.6446</v>
      </c>
      <c r="O28" s="10">
        <f t="shared" si="3"/>
        <v>0.5424608018249738</v>
      </c>
      <c r="P28" s="24">
        <v>180000</v>
      </c>
      <c r="Q28" s="11">
        <f t="shared" si="4"/>
        <v>63303.3554</v>
      </c>
      <c r="R28" s="8" t="s">
        <v>11</v>
      </c>
      <c r="S28" s="3" t="s">
        <v>225</v>
      </c>
      <c r="T28" s="3" t="s">
        <v>186</v>
      </c>
      <c r="U28" s="3">
        <v>2024</v>
      </c>
      <c r="V28" s="5" t="str">
        <f t="shared" si="5"/>
        <v>SI</v>
      </c>
    </row>
    <row r="29" spans="1:22" x14ac:dyDescent="0.25">
      <c r="A29" s="4" t="s">
        <v>277</v>
      </c>
      <c r="B29" s="16">
        <v>45484</v>
      </c>
      <c r="C29" s="8" t="s">
        <v>30</v>
      </c>
      <c r="D29" s="8" t="s">
        <v>13</v>
      </c>
      <c r="E29" s="7" t="s">
        <v>224</v>
      </c>
      <c r="F29" s="8">
        <v>17.989999999999998</v>
      </c>
      <c r="G29" s="8">
        <v>0</v>
      </c>
      <c r="H29" s="8">
        <v>0</v>
      </c>
      <c r="I29" s="27">
        <v>12100</v>
      </c>
      <c r="J29" s="8">
        <v>1</v>
      </c>
      <c r="K29" s="21">
        <f t="shared" si="0"/>
        <v>17.989999999999998</v>
      </c>
      <c r="L29" s="26">
        <v>4185.54</v>
      </c>
      <c r="M29" s="24">
        <f t="shared" si="1"/>
        <v>87397.864599999986</v>
      </c>
      <c r="N29" s="25">
        <f t="shared" si="2"/>
        <v>87397.864599999986</v>
      </c>
      <c r="O29" s="10">
        <f t="shared" si="3"/>
        <v>0.94512761585252769</v>
      </c>
      <c r="P29" s="24">
        <v>170000</v>
      </c>
      <c r="Q29" s="11">
        <f t="shared" si="4"/>
        <v>82602.135400000014</v>
      </c>
      <c r="R29" s="8" t="s">
        <v>184</v>
      </c>
      <c r="S29" s="3"/>
      <c r="T29" s="3"/>
      <c r="U29" s="3">
        <v>2024</v>
      </c>
      <c r="V29" s="5" t="str">
        <f t="shared" si="5"/>
        <v>SI</v>
      </c>
    </row>
    <row r="30" spans="1:22" x14ac:dyDescent="0.25">
      <c r="A30" s="4" t="s">
        <v>277</v>
      </c>
      <c r="B30" s="16">
        <v>45484</v>
      </c>
      <c r="C30" s="8" t="s">
        <v>30</v>
      </c>
      <c r="D30" s="8" t="s">
        <v>13</v>
      </c>
      <c r="E30" s="7" t="s">
        <v>223</v>
      </c>
      <c r="F30" s="8">
        <v>17.989999999999998</v>
      </c>
      <c r="G30" s="8">
        <v>0</v>
      </c>
      <c r="H30" s="8">
        <v>0</v>
      </c>
      <c r="I30" s="27">
        <v>12100</v>
      </c>
      <c r="J30" s="8">
        <v>1</v>
      </c>
      <c r="K30" s="21">
        <f t="shared" si="0"/>
        <v>17.989999999999998</v>
      </c>
      <c r="L30" s="26">
        <v>4185.54</v>
      </c>
      <c r="M30" s="24">
        <f t="shared" si="1"/>
        <v>87397.864599999986</v>
      </c>
      <c r="N30" s="25">
        <f t="shared" si="2"/>
        <v>87397.864599999986</v>
      </c>
      <c r="O30" s="10">
        <f t="shared" si="3"/>
        <v>0.94512761585252769</v>
      </c>
      <c r="P30" s="24">
        <v>170000</v>
      </c>
      <c r="Q30" s="11">
        <f t="shared" si="4"/>
        <v>82602.135400000014</v>
      </c>
      <c r="R30" s="8" t="s">
        <v>222</v>
      </c>
      <c r="S30" s="3" t="s">
        <v>221</v>
      </c>
      <c r="T30" s="3" t="s">
        <v>84</v>
      </c>
      <c r="U30" s="3">
        <v>2024</v>
      </c>
      <c r="V30" s="5" t="str">
        <f t="shared" si="5"/>
        <v>SI</v>
      </c>
    </row>
    <row r="31" spans="1:22" x14ac:dyDescent="0.25">
      <c r="A31" s="4" t="s">
        <v>277</v>
      </c>
      <c r="B31" s="16">
        <v>45484</v>
      </c>
      <c r="C31" s="8" t="s">
        <v>30</v>
      </c>
      <c r="D31" s="8" t="s">
        <v>13</v>
      </c>
      <c r="E31" s="7" t="s">
        <v>220</v>
      </c>
      <c r="F31" s="8">
        <v>17.989999999999998</v>
      </c>
      <c r="G31" s="8">
        <v>0</v>
      </c>
      <c r="H31" s="8">
        <v>0</v>
      </c>
      <c r="I31" s="27">
        <v>12100</v>
      </c>
      <c r="J31" s="8">
        <v>1</v>
      </c>
      <c r="K31" s="21">
        <f t="shared" si="0"/>
        <v>17.989999999999998</v>
      </c>
      <c r="L31" s="26">
        <v>4185.54</v>
      </c>
      <c r="M31" s="24">
        <f t="shared" si="1"/>
        <v>87397.864599999986</v>
      </c>
      <c r="N31" s="25">
        <f t="shared" si="2"/>
        <v>87397.864599999986</v>
      </c>
      <c r="O31" s="10">
        <f t="shared" si="3"/>
        <v>0.71628907281105381</v>
      </c>
      <c r="P31" s="24">
        <v>150000</v>
      </c>
      <c r="Q31" s="11">
        <f t="shared" si="4"/>
        <v>62602.135400000014</v>
      </c>
      <c r="R31" s="8" t="s">
        <v>11</v>
      </c>
      <c r="S31" s="3" t="s">
        <v>219</v>
      </c>
      <c r="T31" s="3" t="s">
        <v>84</v>
      </c>
      <c r="U31" s="3">
        <v>2024</v>
      </c>
      <c r="V31" s="5" t="str">
        <f t="shared" si="5"/>
        <v>SI</v>
      </c>
    </row>
    <row r="32" spans="1:22" x14ac:dyDescent="0.25">
      <c r="A32" s="4" t="s">
        <v>278</v>
      </c>
      <c r="B32" s="16">
        <v>45484</v>
      </c>
      <c r="C32" s="8" t="s">
        <v>32</v>
      </c>
      <c r="D32" s="8" t="s">
        <v>13</v>
      </c>
      <c r="E32" s="7" t="s">
        <v>218</v>
      </c>
      <c r="F32" s="8">
        <v>14.99</v>
      </c>
      <c r="G32" s="8">
        <v>0</v>
      </c>
      <c r="H32" s="8">
        <v>0</v>
      </c>
      <c r="I32" s="27">
        <v>12100</v>
      </c>
      <c r="J32" s="8">
        <v>1</v>
      </c>
      <c r="K32" s="21">
        <f t="shared" si="0"/>
        <v>14.99</v>
      </c>
      <c r="L32" s="26">
        <v>4185.54</v>
      </c>
      <c r="M32" s="24">
        <f t="shared" si="1"/>
        <v>74841.244600000005</v>
      </c>
      <c r="N32" s="25">
        <f t="shared" si="2"/>
        <v>74841.244600000005</v>
      </c>
      <c r="O32" s="10">
        <f t="shared" si="3"/>
        <v>1.1378586213409922</v>
      </c>
      <c r="P32" s="24">
        <v>160000</v>
      </c>
      <c r="Q32" s="11">
        <f t="shared" si="4"/>
        <v>85158.755399999995</v>
      </c>
      <c r="R32" s="8" t="s">
        <v>184</v>
      </c>
      <c r="S32" s="3"/>
      <c r="T32" s="3"/>
      <c r="U32" s="3">
        <v>2024</v>
      </c>
      <c r="V32" s="5" t="str">
        <f t="shared" si="5"/>
        <v>SI</v>
      </c>
    </row>
    <row r="33" spans="1:22" x14ac:dyDescent="0.25">
      <c r="A33" s="4" t="s">
        <v>278</v>
      </c>
      <c r="B33" s="16">
        <v>45484</v>
      </c>
      <c r="C33" s="8" t="s">
        <v>32</v>
      </c>
      <c r="D33" s="8" t="s">
        <v>13</v>
      </c>
      <c r="E33" s="7" t="s">
        <v>217</v>
      </c>
      <c r="F33" s="8">
        <v>14.99</v>
      </c>
      <c r="G33" s="8">
        <v>0</v>
      </c>
      <c r="H33" s="8">
        <v>0</v>
      </c>
      <c r="I33" s="27">
        <v>12100</v>
      </c>
      <c r="J33" s="8">
        <v>1</v>
      </c>
      <c r="K33" s="21">
        <f t="shared" si="0"/>
        <v>14.99</v>
      </c>
      <c r="L33" s="26">
        <v>4185.54</v>
      </c>
      <c r="M33" s="24">
        <f t="shared" si="1"/>
        <v>74841.244600000005</v>
      </c>
      <c r="N33" s="25">
        <f t="shared" si="2"/>
        <v>74841.244600000005</v>
      </c>
      <c r="O33" s="10">
        <f t="shared" si="3"/>
        <v>1.1378586213409922</v>
      </c>
      <c r="P33" s="24">
        <v>160000</v>
      </c>
      <c r="Q33" s="11">
        <f t="shared" si="4"/>
        <v>85158.755399999995</v>
      </c>
      <c r="R33" s="8" t="s">
        <v>184</v>
      </c>
      <c r="S33" s="3"/>
      <c r="T33" s="3"/>
      <c r="U33" s="3">
        <v>2024</v>
      </c>
      <c r="V33" s="5" t="str">
        <f t="shared" si="5"/>
        <v>SI</v>
      </c>
    </row>
    <row r="34" spans="1:22" x14ac:dyDescent="0.25">
      <c r="A34" s="4" t="s">
        <v>278</v>
      </c>
      <c r="B34" s="16">
        <v>45484</v>
      </c>
      <c r="C34" s="8" t="s">
        <v>32</v>
      </c>
      <c r="D34" s="8" t="s">
        <v>13</v>
      </c>
      <c r="E34" s="7" t="s">
        <v>216</v>
      </c>
      <c r="F34" s="8">
        <v>14.99</v>
      </c>
      <c r="G34" s="8">
        <v>0</v>
      </c>
      <c r="H34" s="8">
        <v>0</v>
      </c>
      <c r="I34" s="27">
        <v>12100</v>
      </c>
      <c r="J34" s="8">
        <v>1</v>
      </c>
      <c r="K34" s="21">
        <f t="shared" si="0"/>
        <v>14.99</v>
      </c>
      <c r="L34" s="26">
        <v>4185.54</v>
      </c>
      <c r="M34" s="24">
        <f t="shared" si="1"/>
        <v>74841.244600000005</v>
      </c>
      <c r="N34" s="25">
        <f t="shared" si="2"/>
        <v>74841.244600000005</v>
      </c>
      <c r="O34" s="10">
        <f t="shared" si="3"/>
        <v>1.1378586213409922</v>
      </c>
      <c r="P34" s="24">
        <v>160000</v>
      </c>
      <c r="Q34" s="11">
        <f t="shared" si="4"/>
        <v>85158.755399999995</v>
      </c>
      <c r="R34" s="8" t="s">
        <v>184</v>
      </c>
      <c r="S34" s="3"/>
      <c r="T34" s="3"/>
      <c r="U34" s="3">
        <v>2024</v>
      </c>
      <c r="V34" s="5" t="str">
        <f t="shared" si="5"/>
        <v>SI</v>
      </c>
    </row>
    <row r="35" spans="1:22" x14ac:dyDescent="0.25">
      <c r="A35" s="4" t="s">
        <v>275</v>
      </c>
      <c r="B35" s="16">
        <v>45479</v>
      </c>
      <c r="C35" s="8" t="s">
        <v>14</v>
      </c>
      <c r="D35" s="8" t="s">
        <v>27</v>
      </c>
      <c r="E35" s="7" t="s">
        <v>215</v>
      </c>
      <c r="F35" s="24">
        <v>165000</v>
      </c>
      <c r="G35" s="8">
        <v>0</v>
      </c>
      <c r="H35" s="8">
        <v>0</v>
      </c>
      <c r="I35" s="27">
        <f>12000/4</f>
        <v>3000</v>
      </c>
      <c r="J35" s="8">
        <v>1</v>
      </c>
      <c r="K35" s="21">
        <f t="shared" si="0"/>
        <v>165000</v>
      </c>
      <c r="L35" s="26">
        <v>1</v>
      </c>
      <c r="M35" s="24">
        <f t="shared" si="1"/>
        <v>168000</v>
      </c>
      <c r="N35" s="25">
        <f t="shared" si="2"/>
        <v>168000</v>
      </c>
      <c r="O35" s="10">
        <f t="shared" si="3"/>
        <v>0.13095238095238096</v>
      </c>
      <c r="P35" s="24">
        <v>190000</v>
      </c>
      <c r="Q35" s="11">
        <f t="shared" si="4"/>
        <v>22000</v>
      </c>
      <c r="R35" s="8" t="s">
        <v>11</v>
      </c>
      <c r="S35" s="3" t="s">
        <v>214</v>
      </c>
      <c r="T35" s="3" t="s">
        <v>186</v>
      </c>
      <c r="U35" s="3">
        <v>2024</v>
      </c>
      <c r="V35" s="5" t="str">
        <f t="shared" si="5"/>
        <v>SI</v>
      </c>
    </row>
    <row r="36" spans="1:22" x14ac:dyDescent="0.25">
      <c r="A36" s="4" t="s">
        <v>275</v>
      </c>
      <c r="B36" s="16">
        <v>45479</v>
      </c>
      <c r="C36" s="8" t="s">
        <v>14</v>
      </c>
      <c r="D36" s="8" t="s">
        <v>27</v>
      </c>
      <c r="E36" s="7" t="s">
        <v>213</v>
      </c>
      <c r="F36" s="24">
        <v>165000</v>
      </c>
      <c r="G36" s="8">
        <v>0</v>
      </c>
      <c r="H36" s="8">
        <v>0</v>
      </c>
      <c r="I36" s="27">
        <f>12000/4</f>
        <v>3000</v>
      </c>
      <c r="J36" s="8">
        <v>1</v>
      </c>
      <c r="K36" s="21">
        <f t="shared" si="0"/>
        <v>165000</v>
      </c>
      <c r="L36" s="26">
        <v>1</v>
      </c>
      <c r="M36" s="24">
        <f t="shared" si="1"/>
        <v>168000</v>
      </c>
      <c r="N36" s="25">
        <f t="shared" si="2"/>
        <v>168000</v>
      </c>
      <c r="O36" s="10">
        <f t="shared" si="3"/>
        <v>0.13095238095238096</v>
      </c>
      <c r="P36" s="24">
        <v>190000</v>
      </c>
      <c r="Q36" s="11">
        <f t="shared" si="4"/>
        <v>22000</v>
      </c>
      <c r="R36" s="8" t="s">
        <v>11</v>
      </c>
      <c r="S36" s="3" t="s">
        <v>212</v>
      </c>
      <c r="T36" s="3" t="s">
        <v>186</v>
      </c>
      <c r="U36" s="3">
        <v>2024</v>
      </c>
      <c r="V36" s="5" t="str">
        <f t="shared" si="5"/>
        <v>SI</v>
      </c>
    </row>
    <row r="37" spans="1:22" s="19" customFormat="1" x14ac:dyDescent="0.25">
      <c r="A37" s="4" t="s">
        <v>275</v>
      </c>
      <c r="B37" s="16">
        <v>45479</v>
      </c>
      <c r="C37" s="8" t="s">
        <v>14</v>
      </c>
      <c r="D37" s="8" t="s">
        <v>27</v>
      </c>
      <c r="E37" s="7" t="s">
        <v>211</v>
      </c>
      <c r="F37" s="24">
        <v>165000</v>
      </c>
      <c r="G37" s="8">
        <v>0</v>
      </c>
      <c r="H37" s="8">
        <v>0</v>
      </c>
      <c r="I37" s="27">
        <f>12000/4</f>
        <v>3000</v>
      </c>
      <c r="J37" s="8">
        <v>1</v>
      </c>
      <c r="K37" s="21">
        <f t="shared" si="0"/>
        <v>165000</v>
      </c>
      <c r="L37" s="26">
        <v>1</v>
      </c>
      <c r="M37" s="24">
        <f t="shared" si="1"/>
        <v>168000</v>
      </c>
      <c r="N37" s="25">
        <f t="shared" si="2"/>
        <v>168000</v>
      </c>
      <c r="O37" s="10">
        <f t="shared" si="3"/>
        <v>0.13095238095238096</v>
      </c>
      <c r="P37" s="24">
        <v>190000</v>
      </c>
      <c r="Q37" s="11">
        <f t="shared" si="4"/>
        <v>22000</v>
      </c>
      <c r="R37" s="8" t="s">
        <v>11</v>
      </c>
      <c r="S37" s="3" t="s">
        <v>210</v>
      </c>
      <c r="T37" s="3" t="s">
        <v>181</v>
      </c>
      <c r="U37" s="3">
        <v>2024</v>
      </c>
      <c r="V37" s="5" t="str">
        <f t="shared" si="5"/>
        <v>SI</v>
      </c>
    </row>
    <row r="38" spans="1:22" x14ac:dyDescent="0.25">
      <c r="A38" s="4" t="s">
        <v>275</v>
      </c>
      <c r="B38" s="16">
        <v>45479</v>
      </c>
      <c r="C38" s="8" t="s">
        <v>14</v>
      </c>
      <c r="D38" s="8" t="s">
        <v>27</v>
      </c>
      <c r="E38" s="7" t="s">
        <v>209</v>
      </c>
      <c r="F38" s="24">
        <v>165000</v>
      </c>
      <c r="G38" s="8">
        <v>0</v>
      </c>
      <c r="H38" s="8">
        <v>0</v>
      </c>
      <c r="I38" s="27">
        <f>12000/4</f>
        <v>3000</v>
      </c>
      <c r="J38" s="8">
        <v>1</v>
      </c>
      <c r="K38" s="21">
        <f t="shared" si="0"/>
        <v>165000</v>
      </c>
      <c r="L38" s="26">
        <v>1</v>
      </c>
      <c r="M38" s="24">
        <f t="shared" si="1"/>
        <v>168000</v>
      </c>
      <c r="N38" s="25">
        <f t="shared" si="2"/>
        <v>168000</v>
      </c>
      <c r="O38" s="10">
        <f t="shared" si="3"/>
        <v>0.13095238095238096</v>
      </c>
      <c r="P38" s="24">
        <v>190000</v>
      </c>
      <c r="Q38" s="11">
        <f t="shared" si="4"/>
        <v>22000</v>
      </c>
      <c r="R38" s="8" t="s">
        <v>11</v>
      </c>
      <c r="S38" s="3" t="s">
        <v>208</v>
      </c>
      <c r="T38" s="3" t="s">
        <v>181</v>
      </c>
      <c r="U38" s="3">
        <v>2024</v>
      </c>
      <c r="V38" s="5" t="str">
        <f t="shared" si="5"/>
        <v>SI</v>
      </c>
    </row>
    <row r="39" spans="1:22" x14ac:dyDescent="0.25">
      <c r="A39" s="4" t="s">
        <v>276</v>
      </c>
      <c r="B39" s="16">
        <v>45403</v>
      </c>
      <c r="C39" s="8" t="s">
        <v>93</v>
      </c>
      <c r="D39" s="8" t="s">
        <v>13</v>
      </c>
      <c r="E39" s="7" t="s">
        <v>207</v>
      </c>
      <c r="F39" s="8">
        <v>39.99</v>
      </c>
      <c r="G39" s="8">
        <v>0</v>
      </c>
      <c r="H39" s="8">
        <v>0</v>
      </c>
      <c r="I39" s="27">
        <v>11403</v>
      </c>
      <c r="J39" s="8">
        <v>1</v>
      </c>
      <c r="K39" s="21">
        <f t="shared" si="0"/>
        <v>39.99</v>
      </c>
      <c r="L39" s="26">
        <f t="shared" ref="L39:L50" si="6">1390508.94/344.88</f>
        <v>4031.8630828114124</v>
      </c>
      <c r="M39" s="24">
        <f t="shared" si="1"/>
        <v>172637.20468162838</v>
      </c>
      <c r="N39" s="25">
        <f t="shared" si="2"/>
        <v>172637.20468162838</v>
      </c>
      <c r="O39" s="10">
        <f t="shared" si="3"/>
        <v>0.21642377370089375</v>
      </c>
      <c r="P39" s="24">
        <v>210000</v>
      </c>
      <c r="Q39" s="11">
        <f t="shared" si="4"/>
        <v>37362.795318371616</v>
      </c>
      <c r="R39" s="8" t="s">
        <v>11</v>
      </c>
      <c r="S39" s="3" t="s">
        <v>206</v>
      </c>
      <c r="T39" s="3" t="s">
        <v>181</v>
      </c>
      <c r="U39" s="3">
        <v>2024</v>
      </c>
      <c r="V39" s="5" t="str">
        <f t="shared" si="5"/>
        <v>SI</v>
      </c>
    </row>
    <row r="40" spans="1:22" x14ac:dyDescent="0.25">
      <c r="A40" s="4" t="s">
        <v>276</v>
      </c>
      <c r="B40" s="16">
        <v>45403</v>
      </c>
      <c r="C40" s="8" t="s">
        <v>93</v>
      </c>
      <c r="D40" s="8" t="s">
        <v>13</v>
      </c>
      <c r="E40" s="7" t="s">
        <v>205</v>
      </c>
      <c r="F40" s="8">
        <v>39.99</v>
      </c>
      <c r="G40" s="8">
        <v>0</v>
      </c>
      <c r="H40" s="8">
        <v>0</v>
      </c>
      <c r="I40" s="27">
        <v>11403</v>
      </c>
      <c r="J40" s="8">
        <v>1</v>
      </c>
      <c r="K40" s="21">
        <f t="shared" si="0"/>
        <v>39.99</v>
      </c>
      <c r="L40" s="26">
        <f t="shared" si="6"/>
        <v>4031.8630828114124</v>
      </c>
      <c r="M40" s="24">
        <f t="shared" si="1"/>
        <v>172637.20468162838</v>
      </c>
      <c r="N40" s="25">
        <f t="shared" si="2"/>
        <v>172637.20468162838</v>
      </c>
      <c r="O40" s="10">
        <f t="shared" si="3"/>
        <v>0.21642377370089375</v>
      </c>
      <c r="P40" s="24">
        <v>210000</v>
      </c>
      <c r="Q40" s="11">
        <f t="shared" si="4"/>
        <v>37362.795318371616</v>
      </c>
      <c r="R40" s="8" t="s">
        <v>11</v>
      </c>
      <c r="S40" s="3" t="s">
        <v>204</v>
      </c>
      <c r="T40" s="3" t="s">
        <v>181</v>
      </c>
      <c r="U40" s="3">
        <v>2024</v>
      </c>
      <c r="V40" s="5" t="str">
        <f t="shared" si="5"/>
        <v>SI</v>
      </c>
    </row>
    <row r="41" spans="1:22" x14ac:dyDescent="0.25">
      <c r="A41" s="4" t="s">
        <v>276</v>
      </c>
      <c r="B41" s="16">
        <v>45403</v>
      </c>
      <c r="C41" s="8" t="s">
        <v>93</v>
      </c>
      <c r="D41" s="8" t="s">
        <v>13</v>
      </c>
      <c r="E41" s="7" t="s">
        <v>203</v>
      </c>
      <c r="F41" s="8">
        <v>39.99</v>
      </c>
      <c r="G41" s="8">
        <v>0</v>
      </c>
      <c r="H41" s="8">
        <v>0</v>
      </c>
      <c r="I41" s="27">
        <v>11403</v>
      </c>
      <c r="J41" s="8">
        <v>1</v>
      </c>
      <c r="K41" s="21">
        <f t="shared" si="0"/>
        <v>39.99</v>
      </c>
      <c r="L41" s="26">
        <f t="shared" si="6"/>
        <v>4031.8630828114124</v>
      </c>
      <c r="M41" s="24">
        <f t="shared" si="1"/>
        <v>172637.20468162838</v>
      </c>
      <c r="N41" s="25">
        <f t="shared" si="2"/>
        <v>172637.20468162838</v>
      </c>
      <c r="O41" s="10">
        <f t="shared" si="3"/>
        <v>0.21642377370089375</v>
      </c>
      <c r="P41" s="24">
        <v>210000</v>
      </c>
      <c r="Q41" s="11">
        <f t="shared" si="4"/>
        <v>37362.795318371616</v>
      </c>
      <c r="R41" s="8" t="s">
        <v>11</v>
      </c>
      <c r="S41" s="3" t="s">
        <v>202</v>
      </c>
      <c r="T41" s="3" t="s">
        <v>181</v>
      </c>
      <c r="U41" s="3">
        <v>2024</v>
      </c>
      <c r="V41" s="5" t="str">
        <f t="shared" si="5"/>
        <v>SI</v>
      </c>
    </row>
    <row r="42" spans="1:22" x14ac:dyDescent="0.25">
      <c r="A42" s="4" t="s">
        <v>275</v>
      </c>
      <c r="B42" s="16">
        <v>45403</v>
      </c>
      <c r="C42" s="8" t="s">
        <v>14</v>
      </c>
      <c r="D42" s="8" t="s">
        <v>13</v>
      </c>
      <c r="E42" s="7" t="s">
        <v>201</v>
      </c>
      <c r="F42" s="8">
        <v>29.99</v>
      </c>
      <c r="G42" s="8">
        <v>0</v>
      </c>
      <c r="H42" s="8">
        <v>0</v>
      </c>
      <c r="I42" s="27">
        <v>11403</v>
      </c>
      <c r="J42" s="8">
        <v>1</v>
      </c>
      <c r="K42" s="21">
        <f t="shared" si="0"/>
        <v>29.99</v>
      </c>
      <c r="L42" s="26">
        <f t="shared" si="6"/>
        <v>4031.8630828114124</v>
      </c>
      <c r="M42" s="24">
        <f t="shared" si="1"/>
        <v>132318.57385351424</v>
      </c>
      <c r="N42" s="25">
        <f t="shared" si="2"/>
        <v>132318.57385351424</v>
      </c>
      <c r="O42" s="10">
        <f t="shared" si="3"/>
        <v>0.43592841478432998</v>
      </c>
      <c r="P42" s="24">
        <v>190000</v>
      </c>
      <c r="Q42" s="11">
        <f t="shared" si="4"/>
        <v>57681.426146485755</v>
      </c>
      <c r="R42" s="8" t="s">
        <v>11</v>
      </c>
      <c r="S42" s="3" t="s">
        <v>200</v>
      </c>
      <c r="T42" s="3" t="s">
        <v>178</v>
      </c>
      <c r="U42" s="3">
        <v>2024</v>
      </c>
      <c r="V42" s="5" t="str">
        <f t="shared" si="5"/>
        <v>SI</v>
      </c>
    </row>
    <row r="43" spans="1:22" x14ac:dyDescent="0.25">
      <c r="A43" s="4" t="s">
        <v>275</v>
      </c>
      <c r="B43" s="16">
        <v>45403</v>
      </c>
      <c r="C43" s="8" t="s">
        <v>14</v>
      </c>
      <c r="D43" s="8" t="s">
        <v>13</v>
      </c>
      <c r="E43" s="7" t="s">
        <v>199</v>
      </c>
      <c r="F43" s="8">
        <v>29.99</v>
      </c>
      <c r="G43" s="8">
        <v>0</v>
      </c>
      <c r="H43" s="8">
        <v>0</v>
      </c>
      <c r="I43" s="27">
        <v>11403</v>
      </c>
      <c r="J43" s="8">
        <v>1</v>
      </c>
      <c r="K43" s="21">
        <f t="shared" si="0"/>
        <v>29.99</v>
      </c>
      <c r="L43" s="26">
        <f t="shared" si="6"/>
        <v>4031.8630828114124</v>
      </c>
      <c r="M43" s="24">
        <f t="shared" si="1"/>
        <v>132318.57385351424</v>
      </c>
      <c r="N43" s="25">
        <f t="shared" si="2"/>
        <v>132318.57385351424</v>
      </c>
      <c r="O43" s="10">
        <f t="shared" si="3"/>
        <v>0.43592841478432998</v>
      </c>
      <c r="P43" s="24">
        <v>190000</v>
      </c>
      <c r="Q43" s="11">
        <f t="shared" si="4"/>
        <v>57681.426146485755</v>
      </c>
      <c r="R43" s="8" t="s">
        <v>11</v>
      </c>
      <c r="S43" s="3" t="s">
        <v>198</v>
      </c>
      <c r="T43" s="3" t="s">
        <v>178</v>
      </c>
      <c r="U43" s="3">
        <v>2024</v>
      </c>
      <c r="V43" s="5" t="str">
        <f t="shared" si="5"/>
        <v>SI</v>
      </c>
    </row>
    <row r="44" spans="1:22" x14ac:dyDescent="0.25">
      <c r="A44" s="4" t="s">
        <v>275</v>
      </c>
      <c r="B44" s="16">
        <v>45403</v>
      </c>
      <c r="C44" s="8" t="s">
        <v>14</v>
      </c>
      <c r="D44" s="8" t="s">
        <v>13</v>
      </c>
      <c r="E44" s="7" t="s">
        <v>197</v>
      </c>
      <c r="F44" s="8">
        <v>29.99</v>
      </c>
      <c r="G44" s="8">
        <v>0</v>
      </c>
      <c r="H44" s="8">
        <v>0</v>
      </c>
      <c r="I44" s="27">
        <v>11403</v>
      </c>
      <c r="J44" s="8">
        <v>1</v>
      </c>
      <c r="K44" s="21">
        <f t="shared" si="0"/>
        <v>29.99</v>
      </c>
      <c r="L44" s="26">
        <f t="shared" si="6"/>
        <v>4031.8630828114124</v>
      </c>
      <c r="M44" s="24">
        <f t="shared" si="1"/>
        <v>132318.57385351424</v>
      </c>
      <c r="N44" s="25">
        <f t="shared" si="2"/>
        <v>132318.57385351424</v>
      </c>
      <c r="O44" s="10">
        <f t="shared" si="3"/>
        <v>0.43592841478432998</v>
      </c>
      <c r="P44" s="24">
        <v>190000</v>
      </c>
      <c r="Q44" s="11">
        <f t="shared" si="4"/>
        <v>57681.426146485755</v>
      </c>
      <c r="R44" s="8" t="s">
        <v>11</v>
      </c>
      <c r="S44" s="3" t="s">
        <v>196</v>
      </c>
      <c r="T44" s="3" t="s">
        <v>181</v>
      </c>
      <c r="U44" s="3">
        <v>2024</v>
      </c>
      <c r="V44" s="5" t="str">
        <f t="shared" si="5"/>
        <v>SI</v>
      </c>
    </row>
    <row r="45" spans="1:22" x14ac:dyDescent="0.25">
      <c r="A45" s="4" t="s">
        <v>277</v>
      </c>
      <c r="B45" s="16">
        <v>45403</v>
      </c>
      <c r="C45" s="8" t="s">
        <v>30</v>
      </c>
      <c r="D45" s="8" t="s">
        <v>13</v>
      </c>
      <c r="E45" s="7" t="s">
        <v>195</v>
      </c>
      <c r="F45" s="8">
        <v>24.99</v>
      </c>
      <c r="G45" s="8">
        <v>0</v>
      </c>
      <c r="H45" s="8">
        <v>0</v>
      </c>
      <c r="I45" s="27">
        <v>11403</v>
      </c>
      <c r="J45" s="8">
        <v>1</v>
      </c>
      <c r="K45" s="21">
        <f t="shared" si="0"/>
        <v>24.99</v>
      </c>
      <c r="L45" s="26">
        <f t="shared" si="6"/>
        <v>4031.8630828114124</v>
      </c>
      <c r="M45" s="24">
        <f t="shared" si="1"/>
        <v>112159.25843945719</v>
      </c>
      <c r="N45" s="25">
        <f t="shared" si="2"/>
        <v>112159.25843945719</v>
      </c>
      <c r="O45" s="10">
        <f t="shared" si="3"/>
        <v>0.51570189002065181</v>
      </c>
      <c r="P45" s="24">
        <v>170000</v>
      </c>
      <c r="Q45" s="11">
        <f t="shared" si="4"/>
        <v>57840.74156054281</v>
      </c>
      <c r="R45" s="8" t="s">
        <v>11</v>
      </c>
      <c r="S45" s="3" t="s">
        <v>194</v>
      </c>
      <c r="T45" s="3" t="s">
        <v>178</v>
      </c>
      <c r="U45" s="3">
        <v>2024</v>
      </c>
      <c r="V45" s="5" t="str">
        <f t="shared" si="5"/>
        <v>SI</v>
      </c>
    </row>
    <row r="46" spans="1:22" x14ac:dyDescent="0.25">
      <c r="A46" s="4" t="s">
        <v>277</v>
      </c>
      <c r="B46" s="16">
        <v>45403</v>
      </c>
      <c r="C46" s="8" t="s">
        <v>30</v>
      </c>
      <c r="D46" s="8" t="s">
        <v>13</v>
      </c>
      <c r="E46" s="7" t="s">
        <v>193</v>
      </c>
      <c r="F46" s="8">
        <v>24.99</v>
      </c>
      <c r="G46" s="8">
        <v>0</v>
      </c>
      <c r="H46" s="8">
        <v>0</v>
      </c>
      <c r="I46" s="27">
        <v>11403</v>
      </c>
      <c r="J46" s="8">
        <v>1</v>
      </c>
      <c r="K46" s="21">
        <f t="shared" si="0"/>
        <v>24.99</v>
      </c>
      <c r="L46" s="26">
        <f t="shared" si="6"/>
        <v>4031.8630828114124</v>
      </c>
      <c r="M46" s="24">
        <f t="shared" si="1"/>
        <v>112159.25843945719</v>
      </c>
      <c r="N46" s="25">
        <f t="shared" si="2"/>
        <v>112159.25843945719</v>
      </c>
      <c r="O46" s="10">
        <f t="shared" si="3"/>
        <v>0.51570189002065181</v>
      </c>
      <c r="P46" s="24">
        <v>170000</v>
      </c>
      <c r="Q46" s="11">
        <f t="shared" si="4"/>
        <v>57840.74156054281</v>
      </c>
      <c r="R46" s="8" t="s">
        <v>11</v>
      </c>
      <c r="S46" s="3"/>
      <c r="T46" s="3"/>
      <c r="U46" s="3"/>
      <c r="V46" s="5" t="str">
        <f t="shared" si="5"/>
        <v>NO</v>
      </c>
    </row>
    <row r="47" spans="1:22" x14ac:dyDescent="0.25">
      <c r="A47" s="4" t="s">
        <v>277</v>
      </c>
      <c r="B47" s="16">
        <v>45403</v>
      </c>
      <c r="C47" s="8" t="s">
        <v>30</v>
      </c>
      <c r="D47" s="8" t="s">
        <v>13</v>
      </c>
      <c r="E47" s="7" t="s">
        <v>192</v>
      </c>
      <c r="F47" s="8">
        <v>24.99</v>
      </c>
      <c r="G47" s="8">
        <v>0</v>
      </c>
      <c r="H47" s="8">
        <v>0</v>
      </c>
      <c r="I47" s="27">
        <v>11403</v>
      </c>
      <c r="J47" s="8">
        <v>1</v>
      </c>
      <c r="K47" s="21">
        <f t="shared" si="0"/>
        <v>24.99</v>
      </c>
      <c r="L47" s="26">
        <f t="shared" si="6"/>
        <v>4031.8630828114124</v>
      </c>
      <c r="M47" s="24">
        <f t="shared" si="1"/>
        <v>112159.25843945719</v>
      </c>
      <c r="N47" s="25">
        <f t="shared" si="2"/>
        <v>112159.25843945719</v>
      </c>
      <c r="O47" s="10">
        <f t="shared" si="3"/>
        <v>0.51570189002065181</v>
      </c>
      <c r="P47" s="24">
        <v>170000</v>
      </c>
      <c r="Q47" s="11">
        <f t="shared" si="4"/>
        <v>57840.74156054281</v>
      </c>
      <c r="R47" s="8" t="s">
        <v>11</v>
      </c>
      <c r="S47" s="3" t="s">
        <v>191</v>
      </c>
      <c r="T47" s="3" t="s">
        <v>178</v>
      </c>
      <c r="U47" s="3">
        <v>2024</v>
      </c>
      <c r="V47" s="5" t="str">
        <f t="shared" si="5"/>
        <v>SI</v>
      </c>
    </row>
    <row r="48" spans="1:22" x14ac:dyDescent="0.25">
      <c r="A48" s="4" t="s">
        <v>278</v>
      </c>
      <c r="B48" s="16">
        <v>45403</v>
      </c>
      <c r="C48" s="8" t="s">
        <v>32</v>
      </c>
      <c r="D48" s="8" t="s">
        <v>13</v>
      </c>
      <c r="E48" s="7" t="s">
        <v>190</v>
      </c>
      <c r="F48" s="8">
        <v>19.989999999999998</v>
      </c>
      <c r="G48" s="8">
        <v>0</v>
      </c>
      <c r="H48" s="8">
        <v>0</v>
      </c>
      <c r="I48" s="27">
        <v>11403</v>
      </c>
      <c r="J48" s="8">
        <v>1</v>
      </c>
      <c r="K48" s="21">
        <f t="shared" si="0"/>
        <v>19.989999999999998</v>
      </c>
      <c r="L48" s="26">
        <f t="shared" si="6"/>
        <v>4031.8630828114124</v>
      </c>
      <c r="M48" s="24">
        <f t="shared" si="1"/>
        <v>91999.94302540012</v>
      </c>
      <c r="N48" s="25">
        <f t="shared" si="2"/>
        <v>91999.94302540012</v>
      </c>
      <c r="O48" s="10">
        <f t="shared" si="3"/>
        <v>0.63043579231985758</v>
      </c>
      <c r="P48" s="24">
        <v>150000</v>
      </c>
      <c r="Q48" s="11">
        <f t="shared" si="4"/>
        <v>58000.05697459988</v>
      </c>
      <c r="R48" s="8" t="s">
        <v>11</v>
      </c>
      <c r="S48" s="3" t="s">
        <v>189</v>
      </c>
      <c r="T48" s="3" t="s">
        <v>181</v>
      </c>
      <c r="U48" s="3">
        <v>2024</v>
      </c>
      <c r="V48" s="5" t="str">
        <f t="shared" si="5"/>
        <v>SI</v>
      </c>
    </row>
    <row r="49" spans="1:22" x14ac:dyDescent="0.25">
      <c r="A49" s="4" t="s">
        <v>278</v>
      </c>
      <c r="B49" s="16">
        <v>45403</v>
      </c>
      <c r="C49" s="8" t="s">
        <v>32</v>
      </c>
      <c r="D49" s="8" t="s">
        <v>13</v>
      </c>
      <c r="E49" s="7" t="s">
        <v>188</v>
      </c>
      <c r="F49" s="8">
        <v>19.989999999999998</v>
      </c>
      <c r="G49" s="8">
        <v>0</v>
      </c>
      <c r="H49" s="8">
        <v>0</v>
      </c>
      <c r="I49" s="27">
        <v>11403</v>
      </c>
      <c r="J49" s="8">
        <v>1</v>
      </c>
      <c r="K49" s="21">
        <f t="shared" si="0"/>
        <v>19.989999999999998</v>
      </c>
      <c r="L49" s="26">
        <f t="shared" si="6"/>
        <v>4031.8630828114124</v>
      </c>
      <c r="M49" s="24">
        <f t="shared" si="1"/>
        <v>91999.94302540012</v>
      </c>
      <c r="N49" s="25">
        <f t="shared" si="2"/>
        <v>91999.94302540012</v>
      </c>
      <c r="O49" s="10">
        <f t="shared" si="3"/>
        <v>0.73913151180784809</v>
      </c>
      <c r="P49" s="24">
        <v>160000</v>
      </c>
      <c r="Q49" s="11">
        <f t="shared" si="4"/>
        <v>68000.05697459988</v>
      </c>
      <c r="R49" s="8" t="s">
        <v>11</v>
      </c>
      <c r="S49" s="3" t="s">
        <v>187</v>
      </c>
      <c r="T49" s="3" t="s">
        <v>186</v>
      </c>
      <c r="U49" s="3">
        <v>2024</v>
      </c>
      <c r="V49" s="5" t="str">
        <f t="shared" si="5"/>
        <v>SI</v>
      </c>
    </row>
    <row r="50" spans="1:22" s="19" customFormat="1" x14ac:dyDescent="0.25">
      <c r="A50" s="4" t="s">
        <v>278</v>
      </c>
      <c r="B50" s="16">
        <v>45403</v>
      </c>
      <c r="C50" s="8" t="s">
        <v>32</v>
      </c>
      <c r="D50" s="8" t="s">
        <v>13</v>
      </c>
      <c r="E50" s="7" t="s">
        <v>185</v>
      </c>
      <c r="F50" s="8">
        <v>19.989999999999998</v>
      </c>
      <c r="G50" s="8">
        <v>0</v>
      </c>
      <c r="H50" s="8">
        <v>0</v>
      </c>
      <c r="I50" s="27">
        <v>11403</v>
      </c>
      <c r="J50" s="8">
        <v>1</v>
      </c>
      <c r="K50" s="21">
        <f t="shared" si="0"/>
        <v>19.989999999999998</v>
      </c>
      <c r="L50" s="26">
        <f t="shared" si="6"/>
        <v>4031.8630828114124</v>
      </c>
      <c r="M50" s="24">
        <f t="shared" si="1"/>
        <v>91999.94302540012</v>
      </c>
      <c r="N50" s="25">
        <f t="shared" si="2"/>
        <v>91999.94302540012</v>
      </c>
      <c r="O50" s="10">
        <f t="shared" si="3"/>
        <v>0.73913151180784809</v>
      </c>
      <c r="P50" s="24">
        <v>160000</v>
      </c>
      <c r="Q50" s="11">
        <f t="shared" si="4"/>
        <v>68000.05697459988</v>
      </c>
      <c r="R50" s="8" t="s">
        <v>184</v>
      </c>
      <c r="S50" s="3"/>
      <c r="T50" s="3"/>
      <c r="U50" s="3"/>
      <c r="V50" s="5" t="str">
        <f t="shared" si="5"/>
        <v>NO</v>
      </c>
    </row>
    <row r="51" spans="1:22" s="19" customFormat="1" x14ac:dyDescent="0.25">
      <c r="A51" s="4" t="s">
        <v>275</v>
      </c>
      <c r="B51" s="16">
        <v>45360</v>
      </c>
      <c r="C51" s="8" t="s">
        <v>14</v>
      </c>
      <c r="D51" s="8" t="s">
        <v>13</v>
      </c>
      <c r="E51" s="7" t="s">
        <v>183</v>
      </c>
      <c r="F51" s="8">
        <v>29.99</v>
      </c>
      <c r="G51" s="8">
        <v>0</v>
      </c>
      <c r="H51" s="8">
        <v>0</v>
      </c>
      <c r="I51" s="27">
        <v>13970</v>
      </c>
      <c r="J51" s="8">
        <v>1</v>
      </c>
      <c r="K51" s="21">
        <f t="shared" si="0"/>
        <v>29.99</v>
      </c>
      <c r="L51" s="26">
        <v>3992.35</v>
      </c>
      <c r="M51" s="24">
        <f t="shared" si="1"/>
        <v>133700.5765</v>
      </c>
      <c r="N51" s="25">
        <f t="shared" si="2"/>
        <v>133700.5765</v>
      </c>
      <c r="O51" s="10">
        <f t="shared" si="3"/>
        <v>0.42108586943901477</v>
      </c>
      <c r="P51" s="24">
        <v>190000</v>
      </c>
      <c r="Q51" s="11">
        <f t="shared" si="4"/>
        <v>56299.423500000004</v>
      </c>
      <c r="R51" s="8" t="s">
        <v>11</v>
      </c>
      <c r="S51" s="3" t="s">
        <v>182</v>
      </c>
      <c r="T51" s="3" t="s">
        <v>181</v>
      </c>
      <c r="U51" s="3">
        <v>2024</v>
      </c>
      <c r="V51" s="5" t="str">
        <f t="shared" si="5"/>
        <v>SI</v>
      </c>
    </row>
    <row r="52" spans="1:22" s="19" customFormat="1" x14ac:dyDescent="0.25">
      <c r="A52" s="4" t="s">
        <v>275</v>
      </c>
      <c r="B52" s="16">
        <v>45360</v>
      </c>
      <c r="C52" s="8" t="s">
        <v>14</v>
      </c>
      <c r="D52" s="8" t="s">
        <v>13</v>
      </c>
      <c r="E52" s="7" t="s">
        <v>180</v>
      </c>
      <c r="F52" s="8">
        <v>29.99</v>
      </c>
      <c r="G52" s="8">
        <v>0</v>
      </c>
      <c r="H52" s="8">
        <v>0</v>
      </c>
      <c r="I52" s="27">
        <v>13970</v>
      </c>
      <c r="J52" s="8">
        <v>1</v>
      </c>
      <c r="K52" s="21">
        <f t="shared" si="0"/>
        <v>29.99</v>
      </c>
      <c r="L52" s="26">
        <v>3992.35</v>
      </c>
      <c r="M52" s="24">
        <f t="shared" si="1"/>
        <v>133700.5765</v>
      </c>
      <c r="N52" s="25">
        <f t="shared" si="2"/>
        <v>133700.5765</v>
      </c>
      <c r="O52" s="10">
        <f t="shared" si="3"/>
        <v>0.34629187631064556</v>
      </c>
      <c r="P52" s="24">
        <v>180000</v>
      </c>
      <c r="Q52" s="11">
        <f t="shared" si="4"/>
        <v>46299.423500000004</v>
      </c>
      <c r="R52" s="8" t="s">
        <v>11</v>
      </c>
      <c r="S52" s="3" t="s">
        <v>179</v>
      </c>
      <c r="T52" s="3" t="s">
        <v>178</v>
      </c>
      <c r="U52" s="3">
        <v>2024</v>
      </c>
      <c r="V52" s="5" t="str">
        <f t="shared" si="5"/>
        <v>SI</v>
      </c>
    </row>
    <row r="53" spans="1:22" s="19" customFormat="1" x14ac:dyDescent="0.25">
      <c r="A53" s="4" t="s">
        <v>275</v>
      </c>
      <c r="B53" s="16">
        <v>45360</v>
      </c>
      <c r="C53" s="8" t="s">
        <v>14</v>
      </c>
      <c r="D53" s="8" t="s">
        <v>13</v>
      </c>
      <c r="E53" s="7" t="s">
        <v>177</v>
      </c>
      <c r="F53" s="8">
        <v>29.99</v>
      </c>
      <c r="G53" s="8">
        <v>0</v>
      </c>
      <c r="H53" s="8">
        <v>0</v>
      </c>
      <c r="I53" s="27">
        <v>13970</v>
      </c>
      <c r="J53" s="8">
        <v>1</v>
      </c>
      <c r="K53" s="21">
        <f t="shared" si="0"/>
        <v>29.99</v>
      </c>
      <c r="L53" s="26">
        <v>3992.35</v>
      </c>
      <c r="M53" s="24">
        <f t="shared" si="1"/>
        <v>133700.5765</v>
      </c>
      <c r="N53" s="25">
        <f t="shared" si="2"/>
        <v>133700.5765</v>
      </c>
      <c r="O53" s="10">
        <f t="shared" si="3"/>
        <v>0.42108586943901477</v>
      </c>
      <c r="P53" s="24">
        <v>190000</v>
      </c>
      <c r="Q53" s="11">
        <f t="shared" si="4"/>
        <v>56299.423500000004</v>
      </c>
      <c r="R53" s="8" t="s">
        <v>11</v>
      </c>
      <c r="S53" s="3" t="s">
        <v>176</v>
      </c>
      <c r="T53" s="3" t="s">
        <v>43</v>
      </c>
      <c r="U53" s="3">
        <v>2024</v>
      </c>
      <c r="V53" s="5" t="str">
        <f t="shared" si="5"/>
        <v>SI</v>
      </c>
    </row>
    <row r="54" spans="1:22" s="19" customFormat="1" x14ac:dyDescent="0.25">
      <c r="A54" s="4" t="s">
        <v>275</v>
      </c>
      <c r="B54" s="28">
        <v>45356</v>
      </c>
      <c r="C54" s="8" t="s">
        <v>14</v>
      </c>
      <c r="D54" s="8" t="s">
        <v>13</v>
      </c>
      <c r="E54" s="7" t="s">
        <v>175</v>
      </c>
      <c r="F54" s="8">
        <v>29.99</v>
      </c>
      <c r="G54" s="8">
        <v>0</v>
      </c>
      <c r="H54" s="8">
        <v>0</v>
      </c>
      <c r="I54" s="27">
        <v>11968.333333333334</v>
      </c>
      <c r="J54" s="8">
        <v>1</v>
      </c>
      <c r="K54" s="21">
        <f t="shared" si="0"/>
        <v>29.99</v>
      </c>
      <c r="L54" s="26">
        <v>4032.74</v>
      </c>
      <c r="M54" s="24">
        <f t="shared" si="1"/>
        <v>132910.20593333332</v>
      </c>
      <c r="N54" s="25">
        <f t="shared" si="2"/>
        <v>132910.20593333332</v>
      </c>
      <c r="O54" s="10">
        <f t="shared" si="3"/>
        <v>0.42953657069271611</v>
      </c>
      <c r="P54" s="24">
        <v>190000</v>
      </c>
      <c r="Q54" s="11">
        <f t="shared" si="4"/>
        <v>57089.794066666684</v>
      </c>
      <c r="R54" s="8" t="s">
        <v>11</v>
      </c>
      <c r="S54" s="3" t="s">
        <v>174</v>
      </c>
      <c r="T54" s="3" t="s">
        <v>43</v>
      </c>
      <c r="U54" s="3">
        <v>2024</v>
      </c>
      <c r="V54" s="5" t="str">
        <f t="shared" si="5"/>
        <v>SI</v>
      </c>
    </row>
    <row r="55" spans="1:22" s="19" customFormat="1" x14ac:dyDescent="0.25">
      <c r="A55" s="4" t="s">
        <v>275</v>
      </c>
      <c r="B55" s="16">
        <v>45353</v>
      </c>
      <c r="C55" s="7" t="s">
        <v>14</v>
      </c>
      <c r="D55" s="7" t="s">
        <v>13</v>
      </c>
      <c r="E55" s="7" t="s">
        <v>173</v>
      </c>
      <c r="F55" s="7">
        <v>29.99</v>
      </c>
      <c r="G55" s="7">
        <v>0</v>
      </c>
      <c r="H55" s="7">
        <v>0</v>
      </c>
      <c r="I55" s="27">
        <f t="shared" ref="I55:I60" si="7">71810/6</f>
        <v>11968.333333333334</v>
      </c>
      <c r="J55" s="7">
        <v>1</v>
      </c>
      <c r="K55" s="21">
        <f t="shared" si="0"/>
        <v>29.99</v>
      </c>
      <c r="L55" s="20">
        <v>4034.7</v>
      </c>
      <c r="M55" s="12">
        <f t="shared" si="1"/>
        <v>132968.98633333333</v>
      </c>
      <c r="N55" s="13">
        <f t="shared" si="2"/>
        <v>132968.98633333333</v>
      </c>
      <c r="O55" s="10">
        <f t="shared" si="3"/>
        <v>0.35369912160394273</v>
      </c>
      <c r="P55" s="12">
        <v>180000</v>
      </c>
      <c r="Q55" s="11">
        <f t="shared" si="4"/>
        <v>47031.013666666666</v>
      </c>
      <c r="R55" s="7" t="s">
        <v>11</v>
      </c>
      <c r="S55" s="3" t="s">
        <v>172</v>
      </c>
      <c r="T55" s="3" t="s">
        <v>167</v>
      </c>
      <c r="U55" s="3">
        <v>2024</v>
      </c>
      <c r="V55" s="5" t="str">
        <f t="shared" si="5"/>
        <v>SI</v>
      </c>
    </row>
    <row r="56" spans="1:22" s="19" customFormat="1" x14ac:dyDescent="0.25">
      <c r="A56" s="4" t="s">
        <v>275</v>
      </c>
      <c r="B56" s="28">
        <v>45353</v>
      </c>
      <c r="C56" s="8" t="s">
        <v>14</v>
      </c>
      <c r="D56" s="8" t="s">
        <v>13</v>
      </c>
      <c r="E56" s="8" t="s">
        <v>171</v>
      </c>
      <c r="F56" s="8">
        <v>29.99</v>
      </c>
      <c r="G56" s="8">
        <v>0</v>
      </c>
      <c r="H56" s="8">
        <v>0</v>
      </c>
      <c r="I56" s="27">
        <f t="shared" si="7"/>
        <v>11968.333333333334</v>
      </c>
      <c r="J56" s="8">
        <v>1</v>
      </c>
      <c r="K56" s="21">
        <f t="shared" si="0"/>
        <v>29.99</v>
      </c>
      <c r="L56" s="26">
        <v>4034.7</v>
      </c>
      <c r="M56" s="24">
        <f t="shared" si="1"/>
        <v>132968.98633333333</v>
      </c>
      <c r="N56" s="25">
        <f t="shared" si="2"/>
        <v>132968.98633333333</v>
      </c>
      <c r="O56" s="10">
        <f t="shared" si="3"/>
        <v>0.35369912160394273</v>
      </c>
      <c r="P56" s="12">
        <v>180000</v>
      </c>
      <c r="Q56" s="11">
        <f t="shared" si="4"/>
        <v>47031.013666666666</v>
      </c>
      <c r="R56" s="8" t="s">
        <v>11</v>
      </c>
      <c r="S56" s="3" t="s">
        <v>168</v>
      </c>
      <c r="T56" s="3" t="s">
        <v>167</v>
      </c>
      <c r="U56" s="3">
        <v>2024</v>
      </c>
      <c r="V56" s="5" t="str">
        <f t="shared" si="5"/>
        <v>SI</v>
      </c>
    </row>
    <row r="57" spans="1:22" s="19" customFormat="1" x14ac:dyDescent="0.25">
      <c r="A57" s="4" t="s">
        <v>275</v>
      </c>
      <c r="B57" s="28">
        <v>45353</v>
      </c>
      <c r="C57" s="8" t="s">
        <v>14</v>
      </c>
      <c r="D57" s="8" t="s">
        <v>13</v>
      </c>
      <c r="E57" s="8" t="s">
        <v>170</v>
      </c>
      <c r="F57" s="8">
        <v>29.99</v>
      </c>
      <c r="G57" s="8">
        <v>0</v>
      </c>
      <c r="H57" s="8">
        <v>0</v>
      </c>
      <c r="I57" s="27">
        <f t="shared" si="7"/>
        <v>11968.333333333334</v>
      </c>
      <c r="J57" s="8">
        <v>1</v>
      </c>
      <c r="K57" s="21">
        <f t="shared" si="0"/>
        <v>29.99</v>
      </c>
      <c r="L57" s="26">
        <v>4034.7</v>
      </c>
      <c r="M57" s="24">
        <f t="shared" si="1"/>
        <v>132968.98633333333</v>
      </c>
      <c r="N57" s="25">
        <f t="shared" si="2"/>
        <v>132968.98633333333</v>
      </c>
      <c r="O57" s="10">
        <f t="shared" si="3"/>
        <v>0.35369912160394273</v>
      </c>
      <c r="P57" s="12">
        <v>180000</v>
      </c>
      <c r="Q57" s="11">
        <f t="shared" si="4"/>
        <v>47031.013666666666</v>
      </c>
      <c r="R57" s="8" t="s">
        <v>11</v>
      </c>
      <c r="S57" s="3" t="s">
        <v>168</v>
      </c>
      <c r="T57" s="3" t="s">
        <v>167</v>
      </c>
      <c r="U57" s="3">
        <v>2024</v>
      </c>
      <c r="V57" s="5" t="str">
        <f t="shared" si="5"/>
        <v>SI</v>
      </c>
    </row>
    <row r="58" spans="1:22" s="19" customFormat="1" x14ac:dyDescent="0.25">
      <c r="A58" s="4" t="s">
        <v>275</v>
      </c>
      <c r="B58" s="28">
        <v>45352</v>
      </c>
      <c r="C58" s="8" t="s">
        <v>14</v>
      </c>
      <c r="D58" s="8" t="s">
        <v>13</v>
      </c>
      <c r="E58" s="8" t="s">
        <v>169</v>
      </c>
      <c r="F58" s="29">
        <v>29.99</v>
      </c>
      <c r="G58" s="8">
        <v>0</v>
      </c>
      <c r="H58" s="8">
        <v>0</v>
      </c>
      <c r="I58" s="27">
        <f t="shared" si="7"/>
        <v>11968.333333333334</v>
      </c>
      <c r="J58" s="8">
        <v>1</v>
      </c>
      <c r="K58" s="21">
        <f t="shared" si="0"/>
        <v>29.99</v>
      </c>
      <c r="L58" s="26">
        <v>4015.35</v>
      </c>
      <c r="M58" s="24">
        <f t="shared" si="1"/>
        <v>132388.67983333333</v>
      </c>
      <c r="N58" s="25">
        <f t="shared" si="2"/>
        <v>132388.67983333333</v>
      </c>
      <c r="O58" s="10">
        <f t="shared" si="3"/>
        <v>0.35963286458181687</v>
      </c>
      <c r="P58" s="12">
        <v>180000</v>
      </c>
      <c r="Q58" s="11">
        <f t="shared" si="4"/>
        <v>47611.320166666672</v>
      </c>
      <c r="R58" s="8" t="s">
        <v>11</v>
      </c>
      <c r="S58" s="3" t="s">
        <v>168</v>
      </c>
      <c r="T58" s="3" t="s">
        <v>167</v>
      </c>
      <c r="U58" s="3">
        <v>2024</v>
      </c>
      <c r="V58" s="5" t="str">
        <f t="shared" si="5"/>
        <v>SI</v>
      </c>
    </row>
    <row r="59" spans="1:22" s="19" customFormat="1" x14ac:dyDescent="0.25">
      <c r="A59" s="4" t="s">
        <v>276</v>
      </c>
      <c r="B59" s="28">
        <v>45352</v>
      </c>
      <c r="C59" s="8" t="s">
        <v>93</v>
      </c>
      <c r="D59" s="8" t="s">
        <v>13</v>
      </c>
      <c r="E59" s="8" t="s">
        <v>166</v>
      </c>
      <c r="F59" s="8">
        <v>39.99</v>
      </c>
      <c r="G59" s="8">
        <v>0</v>
      </c>
      <c r="H59" s="8">
        <v>0</v>
      </c>
      <c r="I59" s="27">
        <f t="shared" si="7"/>
        <v>11968.333333333334</v>
      </c>
      <c r="J59" s="8">
        <v>1</v>
      </c>
      <c r="K59" s="21">
        <f t="shared" si="0"/>
        <v>39.99</v>
      </c>
      <c r="L59" s="26">
        <v>4015.35</v>
      </c>
      <c r="M59" s="24">
        <f t="shared" si="1"/>
        <v>172542.17983333336</v>
      </c>
      <c r="N59" s="25">
        <f t="shared" si="2"/>
        <v>172542.17983333336</v>
      </c>
      <c r="O59" s="10">
        <f t="shared" si="3"/>
        <v>0.275050542496382</v>
      </c>
      <c r="P59" s="24">
        <v>220000</v>
      </c>
      <c r="Q59" s="11">
        <f t="shared" si="4"/>
        <v>47457.820166666643</v>
      </c>
      <c r="R59" s="8" t="s">
        <v>11</v>
      </c>
      <c r="S59" s="3" t="s">
        <v>165</v>
      </c>
      <c r="T59" s="3" t="s">
        <v>43</v>
      </c>
      <c r="U59" s="3">
        <v>2024</v>
      </c>
      <c r="V59" s="5" t="str">
        <f t="shared" si="5"/>
        <v>SI</v>
      </c>
    </row>
    <row r="60" spans="1:22" s="19" customFormat="1" x14ac:dyDescent="0.25">
      <c r="A60" s="4" t="s">
        <v>277</v>
      </c>
      <c r="B60" s="28">
        <v>45352</v>
      </c>
      <c r="C60" s="8" t="s">
        <v>30</v>
      </c>
      <c r="D60" s="8" t="s">
        <v>13</v>
      </c>
      <c r="E60" s="8" t="s">
        <v>164</v>
      </c>
      <c r="F60" s="8">
        <v>24.99</v>
      </c>
      <c r="G60" s="8">
        <v>0</v>
      </c>
      <c r="H60" s="8">
        <v>0</v>
      </c>
      <c r="I60" s="27">
        <f t="shared" si="7"/>
        <v>11968.333333333334</v>
      </c>
      <c r="J60" s="8">
        <v>1</v>
      </c>
      <c r="K60" s="21">
        <f t="shared" si="0"/>
        <v>24.99</v>
      </c>
      <c r="L60" s="26">
        <v>4015.35</v>
      </c>
      <c r="M60" s="24">
        <f t="shared" si="1"/>
        <v>112311.92983333331</v>
      </c>
      <c r="N60" s="25">
        <f t="shared" si="2"/>
        <v>112311.92983333331</v>
      </c>
      <c r="O60" s="10">
        <f t="shared" si="3"/>
        <v>0.51364151833446026</v>
      </c>
      <c r="P60" s="24">
        <v>170000</v>
      </c>
      <c r="Q60" s="11">
        <f t="shared" si="4"/>
        <v>57688.070166666686</v>
      </c>
      <c r="R60" s="8" t="s">
        <v>11</v>
      </c>
      <c r="S60" s="3" t="s">
        <v>163</v>
      </c>
      <c r="T60" s="3" t="s">
        <v>38</v>
      </c>
      <c r="U60" s="3">
        <v>2024</v>
      </c>
      <c r="V60" s="5" t="str">
        <f t="shared" si="5"/>
        <v>SI</v>
      </c>
    </row>
    <row r="61" spans="1:22" s="19" customFormat="1" x14ac:dyDescent="0.25">
      <c r="A61" s="4" t="s">
        <v>275</v>
      </c>
      <c r="B61" s="28">
        <v>45335</v>
      </c>
      <c r="C61" s="8" t="s">
        <v>14</v>
      </c>
      <c r="D61" s="8" t="s">
        <v>27</v>
      </c>
      <c r="E61" s="8"/>
      <c r="F61" s="8"/>
      <c r="G61" s="8">
        <v>0</v>
      </c>
      <c r="H61" s="8">
        <v>0</v>
      </c>
      <c r="I61" s="8">
        <v>0</v>
      </c>
      <c r="J61" s="8">
        <v>1</v>
      </c>
      <c r="K61" s="21">
        <f t="shared" si="0"/>
        <v>0</v>
      </c>
      <c r="L61" s="26"/>
      <c r="M61" s="24">
        <v>170000</v>
      </c>
      <c r="N61" s="25">
        <f t="shared" si="2"/>
        <v>170000</v>
      </c>
      <c r="O61" s="10">
        <f t="shared" si="3"/>
        <v>0.11764705882352941</v>
      </c>
      <c r="P61" s="24">
        <v>190000</v>
      </c>
      <c r="Q61" s="11">
        <f t="shared" si="4"/>
        <v>20000</v>
      </c>
      <c r="R61" s="8" t="s">
        <v>11</v>
      </c>
      <c r="S61" s="3" t="s">
        <v>162</v>
      </c>
      <c r="T61" s="3" t="s">
        <v>15</v>
      </c>
      <c r="U61" s="3">
        <v>2024</v>
      </c>
      <c r="V61" s="5" t="str">
        <f t="shared" si="5"/>
        <v>SI</v>
      </c>
    </row>
    <row r="62" spans="1:22" s="19" customFormat="1" x14ac:dyDescent="0.25">
      <c r="A62" s="4" t="s">
        <v>275</v>
      </c>
      <c r="B62" s="28">
        <v>45335</v>
      </c>
      <c r="C62" s="8" t="s">
        <v>14</v>
      </c>
      <c r="D62" s="8" t="s">
        <v>27</v>
      </c>
      <c r="E62" s="8"/>
      <c r="F62" s="8"/>
      <c r="G62" s="8">
        <v>0</v>
      </c>
      <c r="H62" s="8">
        <v>0</v>
      </c>
      <c r="I62" s="8">
        <v>0</v>
      </c>
      <c r="J62" s="8">
        <v>1</v>
      </c>
      <c r="K62" s="21">
        <f t="shared" si="0"/>
        <v>0</v>
      </c>
      <c r="L62" s="26"/>
      <c r="M62" s="24">
        <v>170000</v>
      </c>
      <c r="N62" s="25">
        <f t="shared" si="2"/>
        <v>170000</v>
      </c>
      <c r="O62" s="10">
        <f t="shared" si="3"/>
        <v>0.11764705882352941</v>
      </c>
      <c r="P62" s="24">
        <v>190000</v>
      </c>
      <c r="Q62" s="11">
        <f t="shared" si="4"/>
        <v>20000</v>
      </c>
      <c r="R62" s="8" t="s">
        <v>11</v>
      </c>
      <c r="S62" s="3" t="s">
        <v>161</v>
      </c>
      <c r="T62" s="3" t="s">
        <v>15</v>
      </c>
      <c r="U62" s="3">
        <v>2024</v>
      </c>
      <c r="V62" s="5" t="str">
        <f t="shared" si="5"/>
        <v>SI</v>
      </c>
    </row>
    <row r="63" spans="1:22" s="19" customFormat="1" x14ac:dyDescent="0.25">
      <c r="A63" s="4" t="s">
        <v>277</v>
      </c>
      <c r="B63" s="28">
        <v>45330</v>
      </c>
      <c r="C63" s="8" t="s">
        <v>30</v>
      </c>
      <c r="D63" s="8" t="s">
        <v>13</v>
      </c>
      <c r="E63" s="8" t="s">
        <v>160</v>
      </c>
      <c r="F63" s="8">
        <v>24.99</v>
      </c>
      <c r="G63" s="8">
        <v>0</v>
      </c>
      <c r="H63" s="8">
        <v>0</v>
      </c>
      <c r="I63" s="27">
        <f>41910/3</f>
        <v>13970</v>
      </c>
      <c r="J63" s="8">
        <v>1</v>
      </c>
      <c r="K63" s="21">
        <f t="shared" si="0"/>
        <v>24.99</v>
      </c>
      <c r="L63" s="26">
        <v>4043.9</v>
      </c>
      <c r="M63" s="24">
        <f t="shared" ref="M63:M126" si="8">(L63*K63)+I63</f>
        <v>115027.061</v>
      </c>
      <c r="N63" s="25">
        <f t="shared" si="2"/>
        <v>115027.061</v>
      </c>
      <c r="O63" s="10">
        <f t="shared" si="3"/>
        <v>0.39097703278709345</v>
      </c>
      <c r="P63" s="24">
        <v>160000</v>
      </c>
      <c r="Q63" s="11">
        <f t="shared" si="4"/>
        <v>44972.938999999998</v>
      </c>
      <c r="R63" s="8" t="s">
        <v>11</v>
      </c>
      <c r="S63" s="3" t="s">
        <v>159</v>
      </c>
      <c r="T63" s="3" t="s">
        <v>43</v>
      </c>
      <c r="U63" s="3">
        <v>2024</v>
      </c>
      <c r="V63" s="5" t="str">
        <f t="shared" si="5"/>
        <v>SI</v>
      </c>
    </row>
    <row r="64" spans="1:22" s="19" customFormat="1" x14ac:dyDescent="0.25">
      <c r="A64" s="4" t="s">
        <v>275</v>
      </c>
      <c r="B64" s="28">
        <v>45330</v>
      </c>
      <c r="C64" s="8" t="s">
        <v>14</v>
      </c>
      <c r="D64" s="8" t="s">
        <v>13</v>
      </c>
      <c r="E64" s="8" t="s">
        <v>158</v>
      </c>
      <c r="F64" s="8">
        <v>34.99</v>
      </c>
      <c r="G64" s="8">
        <v>0</v>
      </c>
      <c r="H64" s="8">
        <v>0</v>
      </c>
      <c r="I64" s="27">
        <f>41910/3</f>
        <v>13970</v>
      </c>
      <c r="J64" s="8">
        <v>1</v>
      </c>
      <c r="K64" s="21">
        <f t="shared" si="0"/>
        <v>34.99</v>
      </c>
      <c r="L64" s="26">
        <v>4043.9</v>
      </c>
      <c r="M64" s="24">
        <f t="shared" si="8"/>
        <v>155466.06100000002</v>
      </c>
      <c r="N64" s="25">
        <f t="shared" si="2"/>
        <v>155466.06100000002</v>
      </c>
      <c r="O64" s="10">
        <f t="shared" si="3"/>
        <v>0.22213169085180579</v>
      </c>
      <c r="P64" s="24">
        <v>190000</v>
      </c>
      <c r="Q64" s="11">
        <f t="shared" si="4"/>
        <v>34533.938999999984</v>
      </c>
      <c r="R64" s="8" t="s">
        <v>11</v>
      </c>
      <c r="S64" s="3" t="s">
        <v>147</v>
      </c>
      <c r="T64" s="3" t="s">
        <v>38</v>
      </c>
      <c r="U64" s="3">
        <v>2024</v>
      </c>
      <c r="V64" s="5" t="str">
        <f t="shared" si="5"/>
        <v>SI</v>
      </c>
    </row>
    <row r="65" spans="1:22" s="19" customFormat="1" x14ac:dyDescent="0.25">
      <c r="A65" s="4" t="s">
        <v>276</v>
      </c>
      <c r="B65" s="28">
        <v>45330</v>
      </c>
      <c r="C65" s="8" t="s">
        <v>93</v>
      </c>
      <c r="D65" s="8" t="s">
        <v>13</v>
      </c>
      <c r="E65" s="8" t="s">
        <v>157</v>
      </c>
      <c r="F65" s="8">
        <v>39.99</v>
      </c>
      <c r="G65" s="8">
        <v>0</v>
      </c>
      <c r="H65" s="8">
        <v>0</v>
      </c>
      <c r="I65" s="27">
        <f>41910/3</f>
        <v>13970</v>
      </c>
      <c r="J65" s="8">
        <v>1</v>
      </c>
      <c r="K65" s="21">
        <f t="shared" si="0"/>
        <v>39.99</v>
      </c>
      <c r="L65" s="26">
        <v>4043.9</v>
      </c>
      <c r="M65" s="24">
        <f t="shared" si="8"/>
        <v>175685.56100000002</v>
      </c>
      <c r="N65" s="25">
        <v>175685.56100000002</v>
      </c>
      <c r="O65" s="10">
        <f t="shared" si="3"/>
        <v>0.19531735450928708</v>
      </c>
      <c r="P65" s="24">
        <v>210000</v>
      </c>
      <c r="Q65" s="11">
        <f t="shared" si="4"/>
        <v>34314.438999999984</v>
      </c>
      <c r="R65" s="8" t="s">
        <v>11</v>
      </c>
      <c r="S65" s="3" t="s">
        <v>156</v>
      </c>
      <c r="T65" s="3" t="s">
        <v>43</v>
      </c>
      <c r="U65" s="3">
        <v>2024</v>
      </c>
      <c r="V65" s="5" t="str">
        <f t="shared" si="5"/>
        <v>SI</v>
      </c>
    </row>
    <row r="66" spans="1:22" s="19" customFormat="1" x14ac:dyDescent="0.25">
      <c r="A66" s="4" t="s">
        <v>278</v>
      </c>
      <c r="B66" s="28">
        <v>45307</v>
      </c>
      <c r="C66" s="8" t="s">
        <v>32</v>
      </c>
      <c r="D66" s="8" t="s">
        <v>13</v>
      </c>
      <c r="E66" s="8" t="s">
        <v>155</v>
      </c>
      <c r="F66" s="8">
        <v>21.99</v>
      </c>
      <c r="G66" s="8">
        <v>0</v>
      </c>
      <c r="H66" s="8">
        <v>0</v>
      </c>
      <c r="I66" s="27">
        <v>11049</v>
      </c>
      <c r="J66" s="8">
        <v>1</v>
      </c>
      <c r="K66" s="21">
        <f t="shared" ref="K66:K129" si="9">SUBTOTAL(9,F66:H66)</f>
        <v>21.99</v>
      </c>
      <c r="L66" s="26">
        <v>4005.6</v>
      </c>
      <c r="M66" s="24">
        <f t="shared" si="8"/>
        <v>99132.143999999986</v>
      </c>
      <c r="N66" s="25">
        <f t="shared" ref="N66:N129" si="10">SUM(M66:M66)</f>
        <v>99132.143999999986</v>
      </c>
      <c r="O66" s="10">
        <f t="shared" ref="O66:O129" si="11">(P66-N66)/N66*100%</f>
        <v>0.51313180515898071</v>
      </c>
      <c r="P66" s="24">
        <v>150000</v>
      </c>
      <c r="Q66" s="11">
        <f t="shared" ref="Q66:Q129" si="12">P66-N66</f>
        <v>50867.856000000014</v>
      </c>
      <c r="R66" s="8" t="s">
        <v>11</v>
      </c>
      <c r="S66" s="3" t="s">
        <v>154</v>
      </c>
      <c r="T66" s="3" t="s">
        <v>43</v>
      </c>
      <c r="U66" s="3">
        <v>2024</v>
      </c>
      <c r="V66" s="5" t="str">
        <f t="shared" ref="V66:V73" si="13">IF(U66&gt;=2024,"SI","NO")</f>
        <v>SI</v>
      </c>
    </row>
    <row r="67" spans="1:22" s="19" customFormat="1" x14ac:dyDescent="0.25">
      <c r="A67" s="4" t="s">
        <v>278</v>
      </c>
      <c r="B67" s="16">
        <v>45307</v>
      </c>
      <c r="C67" s="7" t="s">
        <v>32</v>
      </c>
      <c r="D67" s="7" t="s">
        <v>13</v>
      </c>
      <c r="E67" s="7" t="s">
        <v>153</v>
      </c>
      <c r="F67" s="7">
        <v>21.99</v>
      </c>
      <c r="G67" s="7">
        <v>0</v>
      </c>
      <c r="H67" s="7">
        <v>0</v>
      </c>
      <c r="I67" s="15">
        <v>11049</v>
      </c>
      <c r="J67" s="7">
        <v>1</v>
      </c>
      <c r="K67" s="21">
        <f t="shared" si="9"/>
        <v>21.99</v>
      </c>
      <c r="L67" s="20">
        <v>4005.6</v>
      </c>
      <c r="M67" s="12">
        <f t="shared" si="8"/>
        <v>99132.143999999986</v>
      </c>
      <c r="N67" s="13">
        <f t="shared" si="10"/>
        <v>99132.143999999986</v>
      </c>
      <c r="O67" s="10">
        <f t="shared" si="11"/>
        <v>0.51313180515898071</v>
      </c>
      <c r="P67" s="12">
        <v>150000</v>
      </c>
      <c r="Q67" s="11">
        <f t="shared" si="12"/>
        <v>50867.856000000014</v>
      </c>
      <c r="R67" s="7" t="s">
        <v>11</v>
      </c>
      <c r="S67" s="5" t="s">
        <v>152</v>
      </c>
      <c r="T67" s="3" t="s">
        <v>43</v>
      </c>
      <c r="U67" s="3">
        <v>2024</v>
      </c>
      <c r="V67" s="5" t="str">
        <f t="shared" si="13"/>
        <v>SI</v>
      </c>
    </row>
    <row r="68" spans="1:22" s="19" customFormat="1" x14ac:dyDescent="0.25">
      <c r="A68" s="4" t="s">
        <v>278</v>
      </c>
      <c r="B68" s="16">
        <v>45307</v>
      </c>
      <c r="C68" s="7" t="s">
        <v>32</v>
      </c>
      <c r="D68" s="7" t="s">
        <v>13</v>
      </c>
      <c r="E68" s="7" t="s">
        <v>151</v>
      </c>
      <c r="F68" s="7">
        <v>21.99</v>
      </c>
      <c r="G68" s="7">
        <v>0</v>
      </c>
      <c r="H68" s="7">
        <v>0</v>
      </c>
      <c r="I68" s="15">
        <v>11049</v>
      </c>
      <c r="J68" s="7">
        <v>1</v>
      </c>
      <c r="K68" s="21">
        <f t="shared" si="9"/>
        <v>21.99</v>
      </c>
      <c r="L68" s="20">
        <v>4005.6</v>
      </c>
      <c r="M68" s="12">
        <f t="shared" si="8"/>
        <v>99132.143999999986</v>
      </c>
      <c r="N68" s="13">
        <f t="shared" si="10"/>
        <v>99132.143999999986</v>
      </c>
      <c r="O68" s="10">
        <f t="shared" si="11"/>
        <v>0.51313180515898071</v>
      </c>
      <c r="P68" s="12">
        <v>150000</v>
      </c>
      <c r="Q68" s="11">
        <f t="shared" si="12"/>
        <v>50867.856000000014</v>
      </c>
      <c r="R68" s="7" t="s">
        <v>11</v>
      </c>
      <c r="S68" s="5" t="s">
        <v>150</v>
      </c>
      <c r="T68" s="5" t="s">
        <v>15</v>
      </c>
      <c r="U68" s="5">
        <v>2024</v>
      </c>
      <c r="V68" s="5" t="str">
        <f t="shared" si="13"/>
        <v>SI</v>
      </c>
    </row>
    <row r="69" spans="1:22" s="19" customFormat="1" x14ac:dyDescent="0.25">
      <c r="A69" s="4" t="s">
        <v>277</v>
      </c>
      <c r="B69" s="16">
        <v>45307</v>
      </c>
      <c r="C69" s="7" t="s">
        <v>30</v>
      </c>
      <c r="D69" s="7" t="s">
        <v>13</v>
      </c>
      <c r="E69" s="7" t="s">
        <v>149</v>
      </c>
      <c r="F69" s="7">
        <v>29.99</v>
      </c>
      <c r="G69" s="7">
        <v>0</v>
      </c>
      <c r="H69" s="7">
        <v>0</v>
      </c>
      <c r="I69" s="15">
        <v>11049</v>
      </c>
      <c r="J69" s="7">
        <v>1</v>
      </c>
      <c r="K69" s="21">
        <f t="shared" si="9"/>
        <v>29.99</v>
      </c>
      <c r="L69" s="20">
        <v>4005.6</v>
      </c>
      <c r="M69" s="12">
        <f t="shared" si="8"/>
        <v>131176.94399999999</v>
      </c>
      <c r="N69" s="13">
        <f t="shared" si="10"/>
        <v>131176.94399999999</v>
      </c>
      <c r="O69" s="10">
        <f t="shared" si="11"/>
        <v>0.29595944848356898</v>
      </c>
      <c r="P69" s="12">
        <v>170000</v>
      </c>
      <c r="Q69" s="11">
        <f t="shared" si="12"/>
        <v>38823.056000000011</v>
      </c>
      <c r="R69" s="7" t="s">
        <v>11</v>
      </c>
      <c r="S69" s="5"/>
      <c r="T69" s="3"/>
      <c r="U69" s="5"/>
      <c r="V69" s="5" t="str">
        <f t="shared" si="13"/>
        <v>NO</v>
      </c>
    </row>
    <row r="70" spans="1:22" s="19" customFormat="1" x14ac:dyDescent="0.25">
      <c r="A70" s="4" t="s">
        <v>277</v>
      </c>
      <c r="B70" s="16">
        <v>45307</v>
      </c>
      <c r="C70" s="7" t="s">
        <v>30</v>
      </c>
      <c r="D70" s="7" t="s">
        <v>13</v>
      </c>
      <c r="E70" s="7" t="s">
        <v>148</v>
      </c>
      <c r="F70" s="7">
        <v>29.99</v>
      </c>
      <c r="G70" s="7">
        <v>0</v>
      </c>
      <c r="H70" s="7">
        <v>0</v>
      </c>
      <c r="I70" s="15">
        <v>11049</v>
      </c>
      <c r="J70" s="7">
        <v>1</v>
      </c>
      <c r="K70" s="21">
        <f t="shared" si="9"/>
        <v>29.99</v>
      </c>
      <c r="L70" s="20">
        <v>4005.6</v>
      </c>
      <c r="M70" s="12">
        <f t="shared" si="8"/>
        <v>131176.94399999999</v>
      </c>
      <c r="N70" s="13">
        <f t="shared" si="10"/>
        <v>131176.94399999999</v>
      </c>
      <c r="O70" s="10">
        <f t="shared" si="11"/>
        <v>0.21972653974924142</v>
      </c>
      <c r="P70" s="12">
        <v>160000</v>
      </c>
      <c r="Q70" s="11">
        <f t="shared" si="12"/>
        <v>28823.056000000011</v>
      </c>
      <c r="R70" s="7" t="s">
        <v>11</v>
      </c>
      <c r="S70" s="5" t="s">
        <v>147</v>
      </c>
      <c r="T70" s="5" t="s">
        <v>38</v>
      </c>
      <c r="U70" s="5">
        <v>2024</v>
      </c>
      <c r="V70" s="5" t="str">
        <f t="shared" si="13"/>
        <v>SI</v>
      </c>
    </row>
    <row r="71" spans="1:22" s="19" customFormat="1" x14ac:dyDescent="0.25">
      <c r="A71" s="4" t="s">
        <v>277</v>
      </c>
      <c r="B71" s="16">
        <v>45307</v>
      </c>
      <c r="C71" s="7" t="s">
        <v>30</v>
      </c>
      <c r="D71" s="7" t="s">
        <v>13</v>
      </c>
      <c r="E71" s="7" t="s">
        <v>146</v>
      </c>
      <c r="F71" s="7">
        <v>29.99</v>
      </c>
      <c r="G71" s="7">
        <v>0</v>
      </c>
      <c r="H71" s="7">
        <v>0</v>
      </c>
      <c r="I71" s="15">
        <v>11049</v>
      </c>
      <c r="J71" s="7">
        <v>1</v>
      </c>
      <c r="K71" s="21">
        <f t="shared" si="9"/>
        <v>29.99</v>
      </c>
      <c r="L71" s="20">
        <v>4005.6</v>
      </c>
      <c r="M71" s="12">
        <f t="shared" si="8"/>
        <v>131176.94399999999</v>
      </c>
      <c r="N71" s="13">
        <f t="shared" si="10"/>
        <v>131176.94399999999</v>
      </c>
      <c r="O71" s="10">
        <f t="shared" si="11"/>
        <v>0.29595944848356898</v>
      </c>
      <c r="P71" s="12">
        <v>170000</v>
      </c>
      <c r="Q71" s="11">
        <f t="shared" si="12"/>
        <v>38823.056000000011</v>
      </c>
      <c r="R71" s="7" t="s">
        <v>11</v>
      </c>
      <c r="S71" s="5" t="s">
        <v>145</v>
      </c>
      <c r="T71" s="3" t="s">
        <v>43</v>
      </c>
      <c r="U71" s="5">
        <v>2024</v>
      </c>
      <c r="V71" s="5" t="str">
        <f t="shared" si="13"/>
        <v>SI</v>
      </c>
    </row>
    <row r="72" spans="1:22" s="19" customFormat="1" x14ac:dyDescent="0.25">
      <c r="A72" s="4" t="s">
        <v>277</v>
      </c>
      <c r="B72" s="16">
        <v>45302</v>
      </c>
      <c r="C72" s="7" t="s">
        <v>30</v>
      </c>
      <c r="D72" s="7" t="s">
        <v>13</v>
      </c>
      <c r="E72" s="7" t="s">
        <v>144</v>
      </c>
      <c r="F72" s="7">
        <v>29.99</v>
      </c>
      <c r="G72" s="7">
        <v>0</v>
      </c>
      <c r="H72" s="7">
        <v>0</v>
      </c>
      <c r="I72" s="15">
        <f>11049</f>
        <v>11049</v>
      </c>
      <c r="J72" s="7">
        <v>1</v>
      </c>
      <c r="K72" s="21">
        <f t="shared" si="9"/>
        <v>29.99</v>
      </c>
      <c r="L72" s="20">
        <v>4010.65</v>
      </c>
      <c r="M72" s="12">
        <f t="shared" si="8"/>
        <v>131328.39350000001</v>
      </c>
      <c r="N72" s="13">
        <f t="shared" si="10"/>
        <v>131328.39350000001</v>
      </c>
      <c r="O72" s="10">
        <f t="shared" si="11"/>
        <v>0.29447254679164253</v>
      </c>
      <c r="P72" s="12">
        <v>170001</v>
      </c>
      <c r="Q72" s="11">
        <f t="shared" si="12"/>
        <v>38672.606499999994</v>
      </c>
      <c r="R72" s="7" t="s">
        <v>11</v>
      </c>
      <c r="S72" s="5" t="s">
        <v>143</v>
      </c>
      <c r="T72" s="3" t="s">
        <v>43</v>
      </c>
      <c r="U72" s="5">
        <v>2024</v>
      </c>
      <c r="V72" s="5" t="str">
        <f t="shared" si="13"/>
        <v>SI</v>
      </c>
    </row>
    <row r="73" spans="1:22" s="19" customFormat="1" x14ac:dyDescent="0.25">
      <c r="A73" s="4" t="s">
        <v>275</v>
      </c>
      <c r="B73" s="16">
        <v>45302</v>
      </c>
      <c r="C73" s="7" t="s">
        <v>14</v>
      </c>
      <c r="D73" s="7" t="s">
        <v>13</v>
      </c>
      <c r="E73" s="7" t="s">
        <v>142</v>
      </c>
      <c r="F73" s="7">
        <v>34.99</v>
      </c>
      <c r="G73" s="7">
        <v>0</v>
      </c>
      <c r="H73" s="7">
        <v>0</v>
      </c>
      <c r="I73" s="15">
        <f>11049</f>
        <v>11049</v>
      </c>
      <c r="J73" s="7">
        <v>1</v>
      </c>
      <c r="K73" s="21">
        <f t="shared" si="9"/>
        <v>34.99</v>
      </c>
      <c r="L73" s="20">
        <v>4010.65</v>
      </c>
      <c r="M73" s="12">
        <f t="shared" si="8"/>
        <v>151381.64350000001</v>
      </c>
      <c r="N73" s="13">
        <f t="shared" si="10"/>
        <v>151381.64350000001</v>
      </c>
      <c r="O73" s="10">
        <f t="shared" si="11"/>
        <v>0.25510594023904881</v>
      </c>
      <c r="P73" s="12">
        <v>190000</v>
      </c>
      <c r="Q73" s="11">
        <f t="shared" si="12"/>
        <v>38618.356499999994</v>
      </c>
      <c r="R73" s="7" t="s">
        <v>11</v>
      </c>
      <c r="S73" s="5" t="s">
        <v>141</v>
      </c>
      <c r="T73" s="5" t="s">
        <v>15</v>
      </c>
      <c r="U73" s="5">
        <v>2024</v>
      </c>
      <c r="V73" s="5" t="str">
        <f t="shared" si="13"/>
        <v>SI</v>
      </c>
    </row>
    <row r="74" spans="1:22" s="19" customFormat="1" x14ac:dyDescent="0.25">
      <c r="A74" s="4" t="s">
        <v>275</v>
      </c>
      <c r="B74" s="16">
        <v>45257</v>
      </c>
      <c r="C74" s="7" t="s">
        <v>14</v>
      </c>
      <c r="D74" s="7" t="s">
        <v>13</v>
      </c>
      <c r="E74" s="7" t="s">
        <v>140</v>
      </c>
      <c r="F74" s="7">
        <v>24.99</v>
      </c>
      <c r="G74" s="7">
        <v>0</v>
      </c>
      <c r="H74" s="7">
        <v>0</v>
      </c>
      <c r="I74" s="15">
        <v>11507.888888888889</v>
      </c>
      <c r="J74" s="7">
        <v>1</v>
      </c>
      <c r="K74" s="21">
        <f t="shared" si="9"/>
        <v>24.99</v>
      </c>
      <c r="L74" s="20">
        <v>4111.620015550372</v>
      </c>
      <c r="M74" s="12">
        <f t="shared" si="8"/>
        <v>114257.27307749267</v>
      </c>
      <c r="N74" s="13">
        <f t="shared" si="10"/>
        <v>114257.27307749267</v>
      </c>
      <c r="O74" s="10">
        <f t="shared" si="11"/>
        <v>0.48787027224692253</v>
      </c>
      <c r="P74" s="12">
        <v>170000</v>
      </c>
      <c r="Q74" s="11">
        <f t="shared" si="12"/>
        <v>55742.726922507325</v>
      </c>
      <c r="R74" s="7" t="s">
        <v>11</v>
      </c>
      <c r="S74" s="5" t="s">
        <v>139</v>
      </c>
      <c r="T74" s="7"/>
      <c r="U74" s="7"/>
      <c r="V74" s="7"/>
    </row>
    <row r="75" spans="1:22" s="19" customFormat="1" x14ac:dyDescent="0.25">
      <c r="A75" s="4" t="s">
        <v>275</v>
      </c>
      <c r="B75" s="16">
        <v>45257</v>
      </c>
      <c r="C75" s="7" t="s">
        <v>14</v>
      </c>
      <c r="D75" s="7" t="s">
        <v>13</v>
      </c>
      <c r="E75" s="7" t="s">
        <v>138</v>
      </c>
      <c r="F75" s="7">
        <v>24.99</v>
      </c>
      <c r="G75" s="7">
        <v>0</v>
      </c>
      <c r="H75" s="7">
        <v>0</v>
      </c>
      <c r="I75" s="15">
        <v>11507.888888888889</v>
      </c>
      <c r="J75" s="7">
        <v>1</v>
      </c>
      <c r="K75" s="21">
        <f t="shared" si="9"/>
        <v>24.99</v>
      </c>
      <c r="L75" s="20">
        <v>4111.620015550372</v>
      </c>
      <c r="M75" s="12">
        <f t="shared" si="8"/>
        <v>114257.27307749267</v>
      </c>
      <c r="N75" s="13">
        <f t="shared" si="10"/>
        <v>114257.27307749267</v>
      </c>
      <c r="O75" s="10">
        <f t="shared" si="11"/>
        <v>0.66291383368773693</v>
      </c>
      <c r="P75" s="12">
        <v>190000</v>
      </c>
      <c r="Q75" s="11">
        <f t="shared" si="12"/>
        <v>75742.726922507325</v>
      </c>
      <c r="R75" s="7" t="s">
        <v>11</v>
      </c>
      <c r="S75" s="5" t="s">
        <v>137</v>
      </c>
      <c r="T75" s="7"/>
      <c r="U75" s="7"/>
      <c r="V75" s="7"/>
    </row>
    <row r="76" spans="1:22" s="19" customFormat="1" x14ac:dyDescent="0.25">
      <c r="A76" s="4" t="s">
        <v>275</v>
      </c>
      <c r="B76" s="16">
        <v>45257</v>
      </c>
      <c r="C76" s="7" t="s">
        <v>14</v>
      </c>
      <c r="D76" s="7" t="s">
        <v>13</v>
      </c>
      <c r="E76" s="7" t="s">
        <v>136</v>
      </c>
      <c r="F76" s="7">
        <v>24.99</v>
      </c>
      <c r="G76" s="7">
        <v>0</v>
      </c>
      <c r="H76" s="7">
        <v>0</v>
      </c>
      <c r="I76" s="15">
        <v>11507.888888888889</v>
      </c>
      <c r="J76" s="7">
        <v>1</v>
      </c>
      <c r="K76" s="21">
        <f t="shared" si="9"/>
        <v>24.99</v>
      </c>
      <c r="L76" s="20">
        <v>4111.620015550372</v>
      </c>
      <c r="M76" s="12">
        <f t="shared" si="8"/>
        <v>114257.27307749267</v>
      </c>
      <c r="N76" s="13">
        <f t="shared" si="10"/>
        <v>114257.27307749267</v>
      </c>
      <c r="O76" s="10">
        <f t="shared" si="11"/>
        <v>0.66291383368773693</v>
      </c>
      <c r="P76" s="12">
        <v>190000</v>
      </c>
      <c r="Q76" s="11">
        <f t="shared" si="12"/>
        <v>75742.726922507325</v>
      </c>
      <c r="R76" s="7" t="s">
        <v>11</v>
      </c>
      <c r="S76" s="5" t="s">
        <v>135</v>
      </c>
      <c r="T76" s="5" t="s">
        <v>15</v>
      </c>
      <c r="U76" s="7">
        <v>2024</v>
      </c>
      <c r="V76" s="7" t="str">
        <f>IF(U76&gt;=2024,"SI","NO")</f>
        <v>SI</v>
      </c>
    </row>
    <row r="77" spans="1:22" s="19" customFormat="1" x14ac:dyDescent="0.25">
      <c r="A77" s="4" t="s">
        <v>278</v>
      </c>
      <c r="B77" s="16">
        <v>45250</v>
      </c>
      <c r="C77" s="7" t="s">
        <v>32</v>
      </c>
      <c r="D77" s="7" t="s">
        <v>13</v>
      </c>
      <c r="E77" s="7" t="s">
        <v>134</v>
      </c>
      <c r="F77" s="7">
        <v>15.99</v>
      </c>
      <c r="G77" s="7">
        <v>0</v>
      </c>
      <c r="H77" s="7">
        <v>0</v>
      </c>
      <c r="I77" s="15">
        <v>11507.888888888889</v>
      </c>
      <c r="J77" s="7">
        <v>1</v>
      </c>
      <c r="K77" s="21">
        <f t="shared" si="9"/>
        <v>15.99</v>
      </c>
      <c r="L77" s="20">
        <v>4173.8400037057627</v>
      </c>
      <c r="M77" s="12">
        <f t="shared" si="8"/>
        <v>78247.590548144042</v>
      </c>
      <c r="N77" s="13">
        <f t="shared" si="10"/>
        <v>78247.590548144042</v>
      </c>
      <c r="O77" s="10">
        <f t="shared" si="11"/>
        <v>0.91699193482140851</v>
      </c>
      <c r="P77" s="12">
        <v>150000</v>
      </c>
      <c r="Q77" s="11">
        <f t="shared" si="12"/>
        <v>71752.409451855958</v>
      </c>
      <c r="R77" s="7" t="s">
        <v>11</v>
      </c>
      <c r="S77" s="5" t="s">
        <v>133</v>
      </c>
      <c r="T77" s="5"/>
      <c r="U77" s="5"/>
      <c r="V77" s="5"/>
    </row>
    <row r="78" spans="1:22" s="19" customFormat="1" x14ac:dyDescent="0.25">
      <c r="A78" s="4" t="s">
        <v>278</v>
      </c>
      <c r="B78" s="16">
        <v>45250</v>
      </c>
      <c r="C78" s="7" t="s">
        <v>32</v>
      </c>
      <c r="D78" s="7" t="s">
        <v>13</v>
      </c>
      <c r="E78" s="7" t="s">
        <v>132</v>
      </c>
      <c r="F78" s="7">
        <v>15.99</v>
      </c>
      <c r="G78" s="7">
        <v>0</v>
      </c>
      <c r="H78" s="7">
        <v>0</v>
      </c>
      <c r="I78" s="15">
        <v>11507.888888888889</v>
      </c>
      <c r="J78" s="7">
        <v>1</v>
      </c>
      <c r="K78" s="21">
        <f t="shared" si="9"/>
        <v>15.99</v>
      </c>
      <c r="L78" s="20">
        <v>4173.8400037057627</v>
      </c>
      <c r="M78" s="12">
        <f t="shared" si="8"/>
        <v>78247.590548144042</v>
      </c>
      <c r="N78" s="13">
        <f t="shared" si="10"/>
        <v>78247.590548144042</v>
      </c>
      <c r="O78" s="10">
        <f t="shared" si="11"/>
        <v>0.91699193482140851</v>
      </c>
      <c r="P78" s="12">
        <v>150000</v>
      </c>
      <c r="Q78" s="11">
        <f t="shared" si="12"/>
        <v>71752.409451855958</v>
      </c>
      <c r="R78" s="7" t="s">
        <v>11</v>
      </c>
      <c r="S78" s="5" t="s">
        <v>131</v>
      </c>
      <c r="T78" s="5"/>
      <c r="U78" s="5"/>
      <c r="V78" s="5"/>
    </row>
    <row r="79" spans="1:22" s="19" customFormat="1" x14ac:dyDescent="0.25">
      <c r="A79" s="4" t="s">
        <v>278</v>
      </c>
      <c r="B79" s="16">
        <v>45250</v>
      </c>
      <c r="C79" s="7" t="s">
        <v>32</v>
      </c>
      <c r="D79" s="7" t="s">
        <v>13</v>
      </c>
      <c r="E79" s="7" t="s">
        <v>130</v>
      </c>
      <c r="F79" s="7">
        <v>15.99</v>
      </c>
      <c r="G79" s="7">
        <v>0</v>
      </c>
      <c r="H79" s="7">
        <v>0</v>
      </c>
      <c r="I79" s="15">
        <v>11507.888888888889</v>
      </c>
      <c r="J79" s="7">
        <v>1</v>
      </c>
      <c r="K79" s="21">
        <f t="shared" si="9"/>
        <v>15.99</v>
      </c>
      <c r="L79" s="20">
        <v>4173.8400037057627</v>
      </c>
      <c r="M79" s="12">
        <f t="shared" si="8"/>
        <v>78247.590548144042</v>
      </c>
      <c r="N79" s="13">
        <f t="shared" si="10"/>
        <v>78247.590548144042</v>
      </c>
      <c r="O79" s="10">
        <f t="shared" si="11"/>
        <v>0.91699193482140851</v>
      </c>
      <c r="P79" s="12">
        <v>150000</v>
      </c>
      <c r="Q79" s="11">
        <f t="shared" si="12"/>
        <v>71752.409451855958</v>
      </c>
      <c r="R79" s="7" t="s">
        <v>11</v>
      </c>
      <c r="S79" s="5" t="s">
        <v>129</v>
      </c>
      <c r="T79" s="5"/>
      <c r="U79" s="5"/>
      <c r="V79" s="5"/>
    </row>
    <row r="80" spans="1:22" s="19" customFormat="1" x14ac:dyDescent="0.25">
      <c r="A80" s="4" t="s">
        <v>277</v>
      </c>
      <c r="B80" s="16">
        <v>45250</v>
      </c>
      <c r="C80" s="7" t="s">
        <v>30</v>
      </c>
      <c r="D80" s="7" t="s">
        <v>13</v>
      </c>
      <c r="E80" s="7" t="s">
        <v>128</v>
      </c>
      <c r="F80" s="7">
        <v>19.989999999999998</v>
      </c>
      <c r="G80" s="7">
        <v>0</v>
      </c>
      <c r="H80" s="7">
        <v>0</v>
      </c>
      <c r="I80" s="15">
        <v>11507.888888888889</v>
      </c>
      <c r="J80" s="7">
        <v>1</v>
      </c>
      <c r="K80" s="21">
        <f t="shared" si="9"/>
        <v>19.989999999999998</v>
      </c>
      <c r="L80" s="20">
        <v>4173.8400037057627</v>
      </c>
      <c r="M80" s="12">
        <f t="shared" si="8"/>
        <v>94942.950562967075</v>
      </c>
      <c r="N80" s="13">
        <f t="shared" si="10"/>
        <v>94942.950562967075</v>
      </c>
      <c r="O80" s="10">
        <f t="shared" si="11"/>
        <v>0.6852225368105288</v>
      </c>
      <c r="P80" s="12">
        <v>160000</v>
      </c>
      <c r="Q80" s="11">
        <f t="shared" si="12"/>
        <v>65057.049437032925</v>
      </c>
      <c r="R80" s="7" t="s">
        <v>11</v>
      </c>
      <c r="S80" s="5" t="s">
        <v>127</v>
      </c>
      <c r="T80" s="5"/>
      <c r="U80" s="5"/>
      <c r="V80" s="5"/>
    </row>
    <row r="81" spans="1:22" s="19" customFormat="1" x14ac:dyDescent="0.25">
      <c r="A81" s="4" t="s">
        <v>277</v>
      </c>
      <c r="B81" s="16">
        <v>45250</v>
      </c>
      <c r="C81" s="7" t="s">
        <v>30</v>
      </c>
      <c r="D81" s="7" t="s">
        <v>13</v>
      </c>
      <c r="E81" s="7" t="s">
        <v>126</v>
      </c>
      <c r="F81" s="7">
        <v>19.989999999999998</v>
      </c>
      <c r="G81" s="7">
        <v>0</v>
      </c>
      <c r="H81" s="7">
        <v>0</v>
      </c>
      <c r="I81" s="15">
        <v>11507.888888888889</v>
      </c>
      <c r="J81" s="7">
        <v>1</v>
      </c>
      <c r="K81" s="21">
        <f t="shared" si="9"/>
        <v>19.989999999999998</v>
      </c>
      <c r="L81" s="20">
        <v>4173.8400037057627</v>
      </c>
      <c r="M81" s="12">
        <f t="shared" si="8"/>
        <v>94942.950562967075</v>
      </c>
      <c r="N81" s="13">
        <f t="shared" si="10"/>
        <v>94942.950562967075</v>
      </c>
      <c r="O81" s="10">
        <f t="shared" si="11"/>
        <v>0.6852225368105288</v>
      </c>
      <c r="P81" s="12">
        <v>160000</v>
      </c>
      <c r="Q81" s="11">
        <f t="shared" si="12"/>
        <v>65057.049437032925</v>
      </c>
      <c r="R81" s="7" t="s">
        <v>11</v>
      </c>
      <c r="S81" s="5" t="s">
        <v>125</v>
      </c>
      <c r="T81" s="5" t="s">
        <v>38</v>
      </c>
      <c r="U81" s="5">
        <v>2024</v>
      </c>
      <c r="V81" s="5" t="str">
        <f>IF(U81&gt;=2024,"SI","NO")</f>
        <v>SI</v>
      </c>
    </row>
    <row r="82" spans="1:22" s="19" customFormat="1" x14ac:dyDescent="0.25">
      <c r="A82" s="4" t="s">
        <v>277</v>
      </c>
      <c r="B82" s="16">
        <v>45250</v>
      </c>
      <c r="C82" s="7" t="s">
        <v>30</v>
      </c>
      <c r="D82" s="7" t="s">
        <v>13</v>
      </c>
      <c r="E82" s="7" t="s">
        <v>124</v>
      </c>
      <c r="F82" s="7">
        <v>19.989999999999998</v>
      </c>
      <c r="G82" s="7">
        <v>0</v>
      </c>
      <c r="H82" s="7">
        <v>0</v>
      </c>
      <c r="I82" s="15">
        <v>11507.888888888889</v>
      </c>
      <c r="J82" s="7">
        <v>1</v>
      </c>
      <c r="K82" s="21">
        <f t="shared" si="9"/>
        <v>19.989999999999998</v>
      </c>
      <c r="L82" s="20">
        <v>4173.8400037057627</v>
      </c>
      <c r="M82" s="12">
        <f t="shared" si="8"/>
        <v>94942.950562967075</v>
      </c>
      <c r="N82" s="13">
        <f t="shared" si="10"/>
        <v>94942.950562967075</v>
      </c>
      <c r="O82" s="10">
        <f t="shared" si="11"/>
        <v>0.6852225368105288</v>
      </c>
      <c r="P82" s="12">
        <v>160000</v>
      </c>
      <c r="Q82" s="11">
        <f t="shared" si="12"/>
        <v>65057.049437032925</v>
      </c>
      <c r="R82" s="7" t="s">
        <v>11</v>
      </c>
      <c r="S82" s="5" t="s">
        <v>123</v>
      </c>
      <c r="T82" s="5"/>
      <c r="U82" s="5"/>
      <c r="V82" s="5"/>
    </row>
    <row r="83" spans="1:22" s="19" customFormat="1" x14ac:dyDescent="0.25">
      <c r="A83" s="4" t="s">
        <v>275</v>
      </c>
      <c r="B83" s="23">
        <v>45204</v>
      </c>
      <c r="C83" s="7" t="s">
        <v>14</v>
      </c>
      <c r="D83" s="7" t="s">
        <v>13</v>
      </c>
      <c r="E83" s="7" t="s">
        <v>122</v>
      </c>
      <c r="F83" s="7">
        <v>22.99</v>
      </c>
      <c r="G83" s="7">
        <v>0</v>
      </c>
      <c r="H83" s="7">
        <v>0</v>
      </c>
      <c r="I83" s="15">
        <v>12877.666666666666</v>
      </c>
      <c r="J83" s="7">
        <v>1</v>
      </c>
      <c r="K83" s="21">
        <f t="shared" si="9"/>
        <v>22.99</v>
      </c>
      <c r="L83" s="20">
        <v>4307.7</v>
      </c>
      <c r="M83" s="12">
        <f t="shared" si="8"/>
        <v>111911.68966666666</v>
      </c>
      <c r="N83" s="13">
        <f t="shared" si="10"/>
        <v>111911.68966666666</v>
      </c>
      <c r="O83" s="10">
        <f t="shared" si="11"/>
        <v>0.69776723562947196</v>
      </c>
      <c r="P83" s="12">
        <v>190000</v>
      </c>
      <c r="Q83" s="11">
        <f t="shared" si="12"/>
        <v>78088.310333333342</v>
      </c>
      <c r="R83" s="7" t="s">
        <v>11</v>
      </c>
      <c r="S83" s="5" t="s">
        <v>121</v>
      </c>
      <c r="T83" s="5" t="s">
        <v>94</v>
      </c>
      <c r="U83" s="7">
        <v>2023</v>
      </c>
      <c r="V83" s="7"/>
    </row>
    <row r="84" spans="1:22" s="19" customFormat="1" x14ac:dyDescent="0.25">
      <c r="A84" s="4" t="s">
        <v>275</v>
      </c>
      <c r="B84" s="23">
        <v>45204</v>
      </c>
      <c r="C84" s="7" t="s">
        <v>14</v>
      </c>
      <c r="D84" s="7" t="s">
        <v>13</v>
      </c>
      <c r="E84" s="7" t="s">
        <v>120</v>
      </c>
      <c r="F84" s="7">
        <v>22.99</v>
      </c>
      <c r="G84" s="7">
        <v>0</v>
      </c>
      <c r="H84" s="7">
        <v>0</v>
      </c>
      <c r="I84" s="15">
        <v>12877.666666666666</v>
      </c>
      <c r="J84" s="7">
        <v>1</v>
      </c>
      <c r="K84" s="21">
        <f t="shared" si="9"/>
        <v>22.99</v>
      </c>
      <c r="L84" s="20">
        <v>4307.7</v>
      </c>
      <c r="M84" s="12">
        <f t="shared" si="8"/>
        <v>111911.68966666666</v>
      </c>
      <c r="N84" s="13">
        <f t="shared" si="10"/>
        <v>111911.68966666666</v>
      </c>
      <c r="O84" s="10">
        <f t="shared" si="11"/>
        <v>0.69776723562947196</v>
      </c>
      <c r="P84" s="12">
        <v>190000</v>
      </c>
      <c r="Q84" s="11">
        <f t="shared" si="12"/>
        <v>78088.310333333342</v>
      </c>
      <c r="R84" s="7" t="s">
        <v>11</v>
      </c>
      <c r="S84" s="5" t="s">
        <v>119</v>
      </c>
      <c r="T84" s="5" t="s">
        <v>19</v>
      </c>
      <c r="U84" s="7">
        <v>2024</v>
      </c>
      <c r="V84" s="7"/>
    </row>
    <row r="85" spans="1:22" s="19" customFormat="1" x14ac:dyDescent="0.25">
      <c r="A85" s="4" t="s">
        <v>275</v>
      </c>
      <c r="B85" s="23">
        <v>45204</v>
      </c>
      <c r="C85" s="7" t="s">
        <v>14</v>
      </c>
      <c r="D85" s="7" t="s">
        <v>13</v>
      </c>
      <c r="E85" s="7" t="s">
        <v>118</v>
      </c>
      <c r="F85" s="7">
        <v>22.99</v>
      </c>
      <c r="G85" s="7">
        <v>0</v>
      </c>
      <c r="H85" s="7">
        <v>0</v>
      </c>
      <c r="I85" s="15">
        <v>12877.666666666666</v>
      </c>
      <c r="J85" s="7">
        <v>1</v>
      </c>
      <c r="K85" s="21">
        <f t="shared" si="9"/>
        <v>22.99</v>
      </c>
      <c r="L85" s="20">
        <v>4307.7</v>
      </c>
      <c r="M85" s="12">
        <f t="shared" si="8"/>
        <v>111911.68966666666</v>
      </c>
      <c r="N85" s="13">
        <f t="shared" si="10"/>
        <v>111911.68966666666</v>
      </c>
      <c r="O85" s="10">
        <f t="shared" si="11"/>
        <v>0.69776723562947196</v>
      </c>
      <c r="P85" s="12">
        <v>190000</v>
      </c>
      <c r="Q85" s="11">
        <f t="shared" si="12"/>
        <v>78088.310333333342</v>
      </c>
      <c r="R85" s="7" t="s">
        <v>11</v>
      </c>
      <c r="S85" s="5" t="s">
        <v>117</v>
      </c>
      <c r="T85" s="5" t="s">
        <v>94</v>
      </c>
      <c r="U85" s="7">
        <v>2023</v>
      </c>
      <c r="V85" s="7"/>
    </row>
    <row r="86" spans="1:22" s="19" customFormat="1" x14ac:dyDescent="0.25">
      <c r="A86" s="4" t="s">
        <v>275</v>
      </c>
      <c r="B86" s="23">
        <v>45200</v>
      </c>
      <c r="C86" s="7" t="s">
        <v>14</v>
      </c>
      <c r="D86" s="7" t="s">
        <v>13</v>
      </c>
      <c r="E86" s="7" t="s">
        <v>116</v>
      </c>
      <c r="F86" s="7">
        <v>22.99</v>
      </c>
      <c r="G86" s="7">
        <v>0</v>
      </c>
      <c r="H86" s="7">
        <v>0</v>
      </c>
      <c r="I86" s="15">
        <v>12877.666666666666</v>
      </c>
      <c r="J86" s="7">
        <v>1</v>
      </c>
      <c r="K86" s="21">
        <f t="shared" si="9"/>
        <v>22.99</v>
      </c>
      <c r="L86" s="20">
        <v>4155.9799999999996</v>
      </c>
      <c r="M86" s="12">
        <f t="shared" si="8"/>
        <v>108423.64686666665</v>
      </c>
      <c r="N86" s="13">
        <f t="shared" si="10"/>
        <v>108423.64686666665</v>
      </c>
      <c r="O86" s="10">
        <f t="shared" si="11"/>
        <v>0.75238525442380111</v>
      </c>
      <c r="P86" s="12">
        <v>190000</v>
      </c>
      <c r="Q86" s="11">
        <f t="shared" si="12"/>
        <v>81576.353133333352</v>
      </c>
      <c r="R86" s="7" t="s">
        <v>11</v>
      </c>
      <c r="S86" s="5" t="s">
        <v>115</v>
      </c>
      <c r="T86" s="5" t="s">
        <v>76</v>
      </c>
      <c r="U86" s="7">
        <v>2023</v>
      </c>
      <c r="V86" s="7" t="str">
        <f>IF(U86&gt;=2024,"SI","NO")</f>
        <v>NO</v>
      </c>
    </row>
    <row r="87" spans="1:22" s="19" customFormat="1" x14ac:dyDescent="0.25">
      <c r="A87" s="4" t="s">
        <v>275</v>
      </c>
      <c r="B87" s="23">
        <v>45200</v>
      </c>
      <c r="C87" s="7" t="s">
        <v>14</v>
      </c>
      <c r="D87" s="7" t="s">
        <v>13</v>
      </c>
      <c r="E87" s="7" t="s">
        <v>114</v>
      </c>
      <c r="F87" s="7">
        <v>22.99</v>
      </c>
      <c r="G87" s="7">
        <v>0</v>
      </c>
      <c r="H87" s="7">
        <v>0</v>
      </c>
      <c r="I87" s="15">
        <v>12877.666666666666</v>
      </c>
      <c r="J87" s="7">
        <v>1</v>
      </c>
      <c r="K87" s="21">
        <f t="shared" si="9"/>
        <v>22.99</v>
      </c>
      <c r="L87" s="20">
        <v>4155.9799999999996</v>
      </c>
      <c r="M87" s="12">
        <f t="shared" si="8"/>
        <v>108423.64686666665</v>
      </c>
      <c r="N87" s="13">
        <f t="shared" si="10"/>
        <v>108423.64686666665</v>
      </c>
      <c r="O87" s="10">
        <f t="shared" si="11"/>
        <v>0.75238525442380111</v>
      </c>
      <c r="P87" s="12">
        <v>190000</v>
      </c>
      <c r="Q87" s="11">
        <f t="shared" si="12"/>
        <v>81576.353133333352</v>
      </c>
      <c r="R87" s="7" t="s">
        <v>11</v>
      </c>
      <c r="S87" s="5" t="s">
        <v>113</v>
      </c>
      <c r="T87" s="5" t="s">
        <v>76</v>
      </c>
      <c r="U87" s="7">
        <v>2023</v>
      </c>
      <c r="V87" s="7" t="str">
        <f>IF(U87&gt;=2024,"SI","NO")</f>
        <v>NO</v>
      </c>
    </row>
    <row r="88" spans="1:22" s="19" customFormat="1" x14ac:dyDescent="0.25">
      <c r="A88" s="4" t="s">
        <v>275</v>
      </c>
      <c r="B88" s="23">
        <v>45200</v>
      </c>
      <c r="C88" s="7" t="s">
        <v>14</v>
      </c>
      <c r="D88" s="7" t="s">
        <v>13</v>
      </c>
      <c r="E88" s="7" t="s">
        <v>112</v>
      </c>
      <c r="F88" s="7">
        <v>22.99</v>
      </c>
      <c r="G88" s="7">
        <v>0</v>
      </c>
      <c r="H88" s="7">
        <v>0</v>
      </c>
      <c r="I88" s="15">
        <v>12877.666666666666</v>
      </c>
      <c r="J88" s="7">
        <v>1</v>
      </c>
      <c r="K88" s="21">
        <f t="shared" si="9"/>
        <v>22.99</v>
      </c>
      <c r="L88" s="20">
        <v>4155.9799999999996</v>
      </c>
      <c r="M88" s="12">
        <f t="shared" si="8"/>
        <v>108423.64686666665</v>
      </c>
      <c r="N88" s="13">
        <f t="shared" si="10"/>
        <v>108423.64686666665</v>
      </c>
      <c r="O88" s="10">
        <f t="shared" si="11"/>
        <v>0.56792364869497991</v>
      </c>
      <c r="P88" s="12">
        <v>170000</v>
      </c>
      <c r="Q88" s="11">
        <f t="shared" si="12"/>
        <v>61576.353133333352</v>
      </c>
      <c r="R88" s="7" t="s">
        <v>11</v>
      </c>
      <c r="S88" s="5" t="s">
        <v>111</v>
      </c>
      <c r="T88" s="5" t="s">
        <v>76</v>
      </c>
      <c r="U88" s="7">
        <v>2023</v>
      </c>
      <c r="V88" s="7" t="str">
        <f>IF(U88&gt;=2024,"SI","NO")</f>
        <v>NO</v>
      </c>
    </row>
    <row r="89" spans="1:22" s="19" customFormat="1" x14ac:dyDescent="0.25">
      <c r="A89" s="4" t="s">
        <v>276</v>
      </c>
      <c r="B89" s="16">
        <v>45146</v>
      </c>
      <c r="C89" s="7" t="s">
        <v>93</v>
      </c>
      <c r="D89" s="7" t="s">
        <v>13</v>
      </c>
      <c r="E89" s="7" t="s">
        <v>110</v>
      </c>
      <c r="F89" s="7">
        <v>26.99</v>
      </c>
      <c r="G89" s="7">
        <v>0</v>
      </c>
      <c r="H89" s="7">
        <v>0</v>
      </c>
      <c r="I89" s="15">
        <v>12048.5</v>
      </c>
      <c r="J89" s="7">
        <v>1</v>
      </c>
      <c r="K89" s="21">
        <f t="shared" si="9"/>
        <v>26.99</v>
      </c>
      <c r="L89" s="20">
        <v>4113</v>
      </c>
      <c r="M89" s="12">
        <f t="shared" si="8"/>
        <v>123058.37</v>
      </c>
      <c r="N89" s="13">
        <f t="shared" si="10"/>
        <v>123058.37</v>
      </c>
      <c r="O89" s="10">
        <f t="shared" si="11"/>
        <v>0.70650724530155895</v>
      </c>
      <c r="P89" s="12">
        <v>210000</v>
      </c>
      <c r="Q89" s="11">
        <f t="shared" si="12"/>
        <v>86941.63</v>
      </c>
      <c r="R89" s="7" t="s">
        <v>11</v>
      </c>
      <c r="S89" s="5" t="s">
        <v>109</v>
      </c>
      <c r="T89" s="7" t="s">
        <v>81</v>
      </c>
      <c r="U89" s="7">
        <v>2023</v>
      </c>
      <c r="V89" s="7"/>
    </row>
    <row r="90" spans="1:22" s="19" customFormat="1" x14ac:dyDescent="0.25">
      <c r="A90" s="4" t="s">
        <v>276</v>
      </c>
      <c r="B90" s="16">
        <v>45146</v>
      </c>
      <c r="C90" s="7" t="s">
        <v>93</v>
      </c>
      <c r="D90" s="7" t="s">
        <v>13</v>
      </c>
      <c r="E90" s="7" t="s">
        <v>108</v>
      </c>
      <c r="F90" s="7">
        <v>26.99</v>
      </c>
      <c r="G90" s="7">
        <v>0</v>
      </c>
      <c r="H90" s="7">
        <v>0</v>
      </c>
      <c r="I90" s="15">
        <v>12048.5</v>
      </c>
      <c r="J90" s="7">
        <v>1</v>
      </c>
      <c r="K90" s="21">
        <f t="shared" si="9"/>
        <v>26.99</v>
      </c>
      <c r="L90" s="20">
        <v>4113</v>
      </c>
      <c r="M90" s="12">
        <f t="shared" si="8"/>
        <v>123058.37</v>
      </c>
      <c r="N90" s="13">
        <f t="shared" si="10"/>
        <v>123058.37</v>
      </c>
      <c r="O90" s="10">
        <f t="shared" si="11"/>
        <v>0.70650724530155895</v>
      </c>
      <c r="P90" s="12">
        <v>210000</v>
      </c>
      <c r="Q90" s="11">
        <f t="shared" si="12"/>
        <v>86941.63</v>
      </c>
      <c r="R90" s="7" t="s">
        <v>11</v>
      </c>
      <c r="S90" s="5" t="s">
        <v>107</v>
      </c>
      <c r="T90" s="7" t="s">
        <v>106</v>
      </c>
      <c r="U90" s="7">
        <v>2023</v>
      </c>
      <c r="V90" s="7"/>
    </row>
    <row r="91" spans="1:22" s="19" customFormat="1" x14ac:dyDescent="0.25">
      <c r="A91" s="4" t="s">
        <v>276</v>
      </c>
      <c r="B91" s="16">
        <v>45146</v>
      </c>
      <c r="C91" s="7" t="s">
        <v>93</v>
      </c>
      <c r="D91" s="7" t="s">
        <v>13</v>
      </c>
      <c r="E91" s="7" t="s">
        <v>105</v>
      </c>
      <c r="F91" s="7">
        <v>26.99</v>
      </c>
      <c r="G91" s="7">
        <v>0</v>
      </c>
      <c r="H91" s="7">
        <v>0</v>
      </c>
      <c r="I91" s="15">
        <v>12048.5</v>
      </c>
      <c r="J91" s="7">
        <v>1</v>
      </c>
      <c r="K91" s="21">
        <f t="shared" si="9"/>
        <v>26.99</v>
      </c>
      <c r="L91" s="20">
        <v>4113</v>
      </c>
      <c r="M91" s="12">
        <f t="shared" si="8"/>
        <v>123058.37</v>
      </c>
      <c r="N91" s="13">
        <f t="shared" si="10"/>
        <v>123058.37</v>
      </c>
      <c r="O91" s="10">
        <f t="shared" si="11"/>
        <v>0.70650724530155895</v>
      </c>
      <c r="P91" s="12">
        <v>210000</v>
      </c>
      <c r="Q91" s="11">
        <f t="shared" si="12"/>
        <v>86941.63</v>
      </c>
      <c r="R91" s="7" t="s">
        <v>11</v>
      </c>
      <c r="S91" s="5" t="s">
        <v>104</v>
      </c>
      <c r="T91" s="7" t="s">
        <v>94</v>
      </c>
      <c r="U91" s="7">
        <v>2023</v>
      </c>
      <c r="V91" s="7"/>
    </row>
    <row r="92" spans="1:22" s="19" customFormat="1" x14ac:dyDescent="0.25">
      <c r="A92" s="4" t="s">
        <v>275</v>
      </c>
      <c r="B92" s="16">
        <v>45146</v>
      </c>
      <c r="C92" s="7" t="s">
        <v>14</v>
      </c>
      <c r="D92" s="7" t="s">
        <v>13</v>
      </c>
      <c r="E92" s="7" t="s">
        <v>103</v>
      </c>
      <c r="F92" s="7">
        <v>24.99</v>
      </c>
      <c r="G92" s="7">
        <v>0</v>
      </c>
      <c r="H92" s="7">
        <v>0</v>
      </c>
      <c r="I92" s="15">
        <v>12048.5</v>
      </c>
      <c r="J92" s="7">
        <v>1</v>
      </c>
      <c r="K92" s="21">
        <f t="shared" si="9"/>
        <v>24.99</v>
      </c>
      <c r="L92" s="20">
        <v>4113</v>
      </c>
      <c r="M92" s="12">
        <f t="shared" si="8"/>
        <v>114832.37</v>
      </c>
      <c r="N92" s="13">
        <f t="shared" si="10"/>
        <v>114832.37</v>
      </c>
      <c r="O92" s="10">
        <f t="shared" si="11"/>
        <v>0.65458572352029321</v>
      </c>
      <c r="P92" s="12">
        <v>190000</v>
      </c>
      <c r="Q92" s="11">
        <f t="shared" si="12"/>
        <v>75167.63</v>
      </c>
      <c r="R92" s="7" t="s">
        <v>11</v>
      </c>
      <c r="S92" s="5" t="s">
        <v>102</v>
      </c>
      <c r="T92" s="7" t="s">
        <v>84</v>
      </c>
      <c r="U92" s="7">
        <v>2023</v>
      </c>
      <c r="V92" s="7"/>
    </row>
    <row r="93" spans="1:22" s="19" customFormat="1" x14ac:dyDescent="0.25">
      <c r="A93" s="4" t="s">
        <v>275</v>
      </c>
      <c r="B93" s="16">
        <v>45146</v>
      </c>
      <c r="C93" s="7" t="s">
        <v>14</v>
      </c>
      <c r="D93" s="7" t="s">
        <v>13</v>
      </c>
      <c r="E93" s="7" t="s">
        <v>101</v>
      </c>
      <c r="F93" s="7">
        <v>24.99</v>
      </c>
      <c r="G93" s="7">
        <v>0</v>
      </c>
      <c r="H93" s="7">
        <v>0</v>
      </c>
      <c r="I93" s="15">
        <v>12048.5</v>
      </c>
      <c r="J93" s="7">
        <v>1</v>
      </c>
      <c r="K93" s="21">
        <f t="shared" si="9"/>
        <v>24.99</v>
      </c>
      <c r="L93" s="20">
        <v>4113</v>
      </c>
      <c r="M93" s="12">
        <f t="shared" si="8"/>
        <v>114832.37</v>
      </c>
      <c r="N93" s="13">
        <f t="shared" si="10"/>
        <v>114832.37</v>
      </c>
      <c r="O93" s="10">
        <f t="shared" si="11"/>
        <v>0.65458572352029321</v>
      </c>
      <c r="P93" s="12">
        <v>190000</v>
      </c>
      <c r="Q93" s="11">
        <f t="shared" si="12"/>
        <v>75167.63</v>
      </c>
      <c r="R93" s="7" t="s">
        <v>11</v>
      </c>
      <c r="S93" s="5" t="s">
        <v>100</v>
      </c>
      <c r="T93" s="7" t="s">
        <v>81</v>
      </c>
      <c r="U93" s="7">
        <v>2023</v>
      </c>
      <c r="V93" s="7"/>
    </row>
    <row r="94" spans="1:22" s="19" customFormat="1" x14ac:dyDescent="0.25">
      <c r="A94" s="4" t="s">
        <v>275</v>
      </c>
      <c r="B94" s="16">
        <v>45146</v>
      </c>
      <c r="C94" s="7" t="s">
        <v>14</v>
      </c>
      <c r="D94" s="7" t="s">
        <v>13</v>
      </c>
      <c r="E94" s="7" t="s">
        <v>99</v>
      </c>
      <c r="F94" s="7">
        <v>24.99</v>
      </c>
      <c r="G94" s="7">
        <v>0</v>
      </c>
      <c r="H94" s="7">
        <v>0</v>
      </c>
      <c r="I94" s="15">
        <v>12048.5</v>
      </c>
      <c r="J94" s="7">
        <v>1</v>
      </c>
      <c r="K94" s="21">
        <f t="shared" si="9"/>
        <v>24.99</v>
      </c>
      <c r="L94" s="20">
        <v>4113</v>
      </c>
      <c r="M94" s="12">
        <f t="shared" si="8"/>
        <v>114832.37</v>
      </c>
      <c r="N94" s="13">
        <f t="shared" si="10"/>
        <v>114832.37</v>
      </c>
      <c r="O94" s="10">
        <f t="shared" si="11"/>
        <v>0.65458572352029321</v>
      </c>
      <c r="P94" s="12">
        <v>190000</v>
      </c>
      <c r="Q94" s="11">
        <f t="shared" si="12"/>
        <v>75167.63</v>
      </c>
      <c r="R94" s="7" t="s">
        <v>11</v>
      </c>
      <c r="S94" s="5" t="s">
        <v>91</v>
      </c>
      <c r="T94" s="7" t="s">
        <v>76</v>
      </c>
      <c r="U94" s="7">
        <v>2023</v>
      </c>
      <c r="V94" s="7"/>
    </row>
    <row r="95" spans="1:22" s="19" customFormat="1" x14ac:dyDescent="0.25">
      <c r="A95" s="4" t="s">
        <v>276</v>
      </c>
      <c r="B95" s="16">
        <v>45119</v>
      </c>
      <c r="C95" s="7" t="s">
        <v>93</v>
      </c>
      <c r="D95" s="7" t="s">
        <v>13</v>
      </c>
      <c r="E95" s="7" t="s">
        <v>98</v>
      </c>
      <c r="F95" s="7">
        <v>24.99</v>
      </c>
      <c r="G95" s="7">
        <v>0</v>
      </c>
      <c r="H95" s="7">
        <v>0</v>
      </c>
      <c r="I95" s="15">
        <v>16096.666666666666</v>
      </c>
      <c r="J95" s="7">
        <v>1</v>
      </c>
      <c r="K95" s="21">
        <f t="shared" si="9"/>
        <v>24.99</v>
      </c>
      <c r="L95" s="20">
        <v>4235.96</v>
      </c>
      <c r="M95" s="12">
        <f t="shared" si="8"/>
        <v>121953.30706666666</v>
      </c>
      <c r="N95" s="13">
        <f t="shared" si="10"/>
        <v>121953.30706666666</v>
      </c>
      <c r="O95" s="10">
        <f t="shared" si="11"/>
        <v>0.63997192704801809</v>
      </c>
      <c r="P95" s="12">
        <v>200000</v>
      </c>
      <c r="Q95" s="11">
        <f t="shared" si="12"/>
        <v>78046.692933333339</v>
      </c>
      <c r="R95" s="7" t="s">
        <v>11</v>
      </c>
      <c r="S95" s="5" t="s">
        <v>97</v>
      </c>
      <c r="T95" s="7" t="s">
        <v>94</v>
      </c>
      <c r="U95" s="7">
        <v>2023</v>
      </c>
      <c r="V95" s="7"/>
    </row>
    <row r="96" spans="1:22" s="19" customFormat="1" x14ac:dyDescent="0.25">
      <c r="A96" s="4" t="s">
        <v>276</v>
      </c>
      <c r="B96" s="16">
        <v>45119</v>
      </c>
      <c r="C96" s="7" t="s">
        <v>93</v>
      </c>
      <c r="D96" s="7" t="s">
        <v>13</v>
      </c>
      <c r="E96" s="7" t="s">
        <v>96</v>
      </c>
      <c r="F96" s="7">
        <v>24.99</v>
      </c>
      <c r="G96" s="7">
        <v>0</v>
      </c>
      <c r="H96" s="7">
        <v>0</v>
      </c>
      <c r="I96" s="15">
        <v>16096.666666666666</v>
      </c>
      <c r="J96" s="7">
        <v>1</v>
      </c>
      <c r="K96" s="21">
        <f t="shared" si="9"/>
        <v>24.99</v>
      </c>
      <c r="L96" s="20">
        <v>4235.96</v>
      </c>
      <c r="M96" s="12">
        <f t="shared" si="8"/>
        <v>121953.30706666666</v>
      </c>
      <c r="N96" s="13">
        <f t="shared" si="10"/>
        <v>121953.30706666666</v>
      </c>
      <c r="O96" s="10">
        <f t="shared" si="11"/>
        <v>0.7219705234004189</v>
      </c>
      <c r="P96" s="12">
        <v>210000</v>
      </c>
      <c r="Q96" s="11">
        <f t="shared" si="12"/>
        <v>88046.692933333339</v>
      </c>
      <c r="R96" s="7" t="s">
        <v>11</v>
      </c>
      <c r="S96" s="5" t="s">
        <v>95</v>
      </c>
      <c r="T96" s="7" t="s">
        <v>94</v>
      </c>
      <c r="U96" s="7">
        <v>2023</v>
      </c>
      <c r="V96" s="7"/>
    </row>
    <row r="97" spans="1:22" s="19" customFormat="1" x14ac:dyDescent="0.25">
      <c r="A97" s="4" t="s">
        <v>276</v>
      </c>
      <c r="B97" s="16">
        <v>45119</v>
      </c>
      <c r="C97" s="7" t="s">
        <v>93</v>
      </c>
      <c r="D97" s="7" t="s">
        <v>13</v>
      </c>
      <c r="E97" s="7" t="s">
        <v>92</v>
      </c>
      <c r="F97" s="7">
        <v>24.99</v>
      </c>
      <c r="G97" s="7">
        <v>0</v>
      </c>
      <c r="H97" s="7">
        <v>0</v>
      </c>
      <c r="I97" s="15">
        <v>16096.666666666666</v>
      </c>
      <c r="J97" s="7">
        <v>1</v>
      </c>
      <c r="K97" s="21">
        <f t="shared" si="9"/>
        <v>24.99</v>
      </c>
      <c r="L97" s="20">
        <v>4235.96</v>
      </c>
      <c r="M97" s="12">
        <f t="shared" si="8"/>
        <v>121953.30706666666</v>
      </c>
      <c r="N97" s="13">
        <f t="shared" si="10"/>
        <v>121953.30706666666</v>
      </c>
      <c r="O97" s="10">
        <f t="shared" si="11"/>
        <v>0.7219705234004189</v>
      </c>
      <c r="P97" s="12">
        <v>210000</v>
      </c>
      <c r="Q97" s="11">
        <f t="shared" si="12"/>
        <v>88046.692933333339</v>
      </c>
      <c r="R97" s="7" t="s">
        <v>11</v>
      </c>
      <c r="S97" s="5" t="s">
        <v>91</v>
      </c>
      <c r="T97" s="7" t="s">
        <v>19</v>
      </c>
      <c r="U97" s="7">
        <v>2024</v>
      </c>
      <c r="V97" s="7"/>
    </row>
    <row r="98" spans="1:22" s="19" customFormat="1" x14ac:dyDescent="0.25">
      <c r="A98" s="4" t="s">
        <v>275</v>
      </c>
      <c r="B98" s="16">
        <v>45118</v>
      </c>
      <c r="C98" s="7" t="s">
        <v>14</v>
      </c>
      <c r="D98" s="7" t="s">
        <v>13</v>
      </c>
      <c r="E98" s="7" t="s">
        <v>90</v>
      </c>
      <c r="F98" s="7">
        <v>22.99</v>
      </c>
      <c r="G98" s="7">
        <v>0</v>
      </c>
      <c r="H98" s="7">
        <v>0</v>
      </c>
      <c r="I98" s="15">
        <v>16096.666666666666</v>
      </c>
      <c r="J98" s="7">
        <v>1</v>
      </c>
      <c r="K98" s="21">
        <f t="shared" si="9"/>
        <v>22.99</v>
      </c>
      <c r="L98" s="20">
        <v>4235.96</v>
      </c>
      <c r="M98" s="12">
        <f t="shared" si="8"/>
        <v>113481.38706666666</v>
      </c>
      <c r="N98" s="13">
        <f t="shared" si="10"/>
        <v>113481.38706666666</v>
      </c>
      <c r="O98" s="10">
        <f t="shared" si="11"/>
        <v>0.6742833773117447</v>
      </c>
      <c r="P98" s="12">
        <v>190000</v>
      </c>
      <c r="Q98" s="11">
        <f t="shared" si="12"/>
        <v>76518.612933333337</v>
      </c>
      <c r="R98" s="7" t="s">
        <v>11</v>
      </c>
      <c r="S98" s="5" t="s">
        <v>89</v>
      </c>
      <c r="T98" s="7" t="s">
        <v>84</v>
      </c>
      <c r="U98" s="7">
        <v>2023</v>
      </c>
      <c r="V98" s="7"/>
    </row>
    <row r="99" spans="1:22" s="19" customFormat="1" x14ac:dyDescent="0.25">
      <c r="A99" s="4" t="s">
        <v>275</v>
      </c>
      <c r="B99" s="16">
        <v>45118</v>
      </c>
      <c r="C99" s="7" t="s">
        <v>14</v>
      </c>
      <c r="D99" s="7" t="s">
        <v>13</v>
      </c>
      <c r="E99" s="7" t="s">
        <v>88</v>
      </c>
      <c r="F99" s="7">
        <v>22.99</v>
      </c>
      <c r="G99" s="7">
        <v>0</v>
      </c>
      <c r="H99" s="7">
        <v>0</v>
      </c>
      <c r="I99" s="15">
        <v>16096.666666666666</v>
      </c>
      <c r="J99" s="7">
        <v>1</v>
      </c>
      <c r="K99" s="21">
        <f t="shared" si="9"/>
        <v>22.99</v>
      </c>
      <c r="L99" s="20">
        <v>4235.96</v>
      </c>
      <c r="M99" s="12">
        <f t="shared" si="8"/>
        <v>113481.38706666666</v>
      </c>
      <c r="N99" s="13">
        <f t="shared" si="10"/>
        <v>113481.38706666666</v>
      </c>
      <c r="O99" s="10">
        <f t="shared" si="11"/>
        <v>0.6742833773117447</v>
      </c>
      <c r="P99" s="12">
        <v>190000</v>
      </c>
      <c r="Q99" s="11">
        <f t="shared" si="12"/>
        <v>76518.612933333337</v>
      </c>
      <c r="R99" s="7" t="s">
        <v>11</v>
      </c>
      <c r="S99" s="5" t="s">
        <v>87</v>
      </c>
      <c r="T99" s="7" t="s">
        <v>84</v>
      </c>
      <c r="U99" s="7">
        <v>2023</v>
      </c>
      <c r="V99" s="7"/>
    </row>
    <row r="100" spans="1:22" s="19" customFormat="1" x14ac:dyDescent="0.25">
      <c r="A100" s="4" t="s">
        <v>275</v>
      </c>
      <c r="B100" s="16">
        <v>45118</v>
      </c>
      <c r="C100" s="7" t="s">
        <v>14</v>
      </c>
      <c r="D100" s="7" t="s">
        <v>13</v>
      </c>
      <c r="E100" s="7" t="s">
        <v>86</v>
      </c>
      <c r="F100" s="7">
        <v>22.99</v>
      </c>
      <c r="G100" s="7">
        <v>0</v>
      </c>
      <c r="H100" s="7">
        <v>0</v>
      </c>
      <c r="I100" s="15">
        <v>16096.666666666666</v>
      </c>
      <c r="J100" s="7">
        <v>1</v>
      </c>
      <c r="K100" s="21">
        <f t="shared" si="9"/>
        <v>22.99</v>
      </c>
      <c r="L100" s="20">
        <v>4235.96</v>
      </c>
      <c r="M100" s="12">
        <f t="shared" si="8"/>
        <v>113481.38706666666</v>
      </c>
      <c r="N100" s="13">
        <f t="shared" si="10"/>
        <v>113481.38706666666</v>
      </c>
      <c r="O100" s="10">
        <f t="shared" si="11"/>
        <v>0.6742833773117447</v>
      </c>
      <c r="P100" s="12">
        <v>190000</v>
      </c>
      <c r="Q100" s="11">
        <f t="shared" si="12"/>
        <v>76518.612933333337</v>
      </c>
      <c r="R100" s="7" t="s">
        <v>11</v>
      </c>
      <c r="S100" s="5" t="s">
        <v>85</v>
      </c>
      <c r="T100" s="7" t="s">
        <v>84</v>
      </c>
      <c r="U100" s="7">
        <v>2023</v>
      </c>
      <c r="V100" s="7"/>
    </row>
    <row r="101" spans="1:22" s="19" customFormat="1" x14ac:dyDescent="0.25">
      <c r="A101" s="4" t="s">
        <v>277</v>
      </c>
      <c r="B101" s="16">
        <v>45118</v>
      </c>
      <c r="C101" s="7" t="s">
        <v>30</v>
      </c>
      <c r="D101" s="7" t="s">
        <v>13</v>
      </c>
      <c r="E101" s="7" t="s">
        <v>83</v>
      </c>
      <c r="F101" s="5">
        <v>16.989999999999998</v>
      </c>
      <c r="G101" s="7">
        <v>0</v>
      </c>
      <c r="H101" s="7">
        <v>0</v>
      </c>
      <c r="I101" s="15">
        <v>16096.666666666666</v>
      </c>
      <c r="J101" s="7">
        <v>1</v>
      </c>
      <c r="K101" s="21">
        <f t="shared" si="9"/>
        <v>16.989999999999998</v>
      </c>
      <c r="L101" s="20">
        <v>4235.96</v>
      </c>
      <c r="M101" s="12">
        <f t="shared" si="8"/>
        <v>88065.627066666668</v>
      </c>
      <c r="N101" s="13">
        <f t="shared" si="10"/>
        <v>88065.627066666668</v>
      </c>
      <c r="O101" s="10">
        <f t="shared" si="11"/>
        <v>0.81682689750086268</v>
      </c>
      <c r="P101" s="12">
        <v>160000</v>
      </c>
      <c r="Q101" s="11">
        <f t="shared" si="12"/>
        <v>71934.372933333332</v>
      </c>
      <c r="R101" s="7" t="s">
        <v>11</v>
      </c>
      <c r="S101" s="5" t="s">
        <v>82</v>
      </c>
      <c r="T101" s="7" t="s">
        <v>81</v>
      </c>
      <c r="U101" s="7">
        <v>2023</v>
      </c>
      <c r="V101" s="6"/>
    </row>
    <row r="102" spans="1:22" s="19" customFormat="1" x14ac:dyDescent="0.25">
      <c r="A102" s="4" t="s">
        <v>277</v>
      </c>
      <c r="B102" s="16">
        <v>45118</v>
      </c>
      <c r="C102" s="7" t="s">
        <v>30</v>
      </c>
      <c r="D102" s="7" t="s">
        <v>13</v>
      </c>
      <c r="E102" s="7" t="s">
        <v>80</v>
      </c>
      <c r="F102" s="5">
        <v>16.989999999999998</v>
      </c>
      <c r="G102" s="7">
        <v>0</v>
      </c>
      <c r="H102" s="7">
        <v>0</v>
      </c>
      <c r="I102" s="15">
        <v>16096.666666666666</v>
      </c>
      <c r="J102" s="7">
        <v>1</v>
      </c>
      <c r="K102" s="21">
        <f t="shared" si="9"/>
        <v>16.989999999999998</v>
      </c>
      <c r="L102" s="20">
        <v>4235.96</v>
      </c>
      <c r="M102" s="12">
        <f t="shared" si="8"/>
        <v>88065.627066666668</v>
      </c>
      <c r="N102" s="13">
        <f t="shared" si="10"/>
        <v>88065.627066666668</v>
      </c>
      <c r="O102" s="10">
        <f t="shared" si="11"/>
        <v>0.70327521640705881</v>
      </c>
      <c r="P102" s="12">
        <v>150000</v>
      </c>
      <c r="Q102" s="11">
        <f t="shared" si="12"/>
        <v>61934.372933333332</v>
      </c>
      <c r="R102" s="7" t="s">
        <v>11</v>
      </c>
      <c r="S102" s="5" t="s">
        <v>79</v>
      </c>
      <c r="T102" s="7" t="s">
        <v>76</v>
      </c>
      <c r="U102" s="7">
        <v>2023</v>
      </c>
      <c r="V102" s="6"/>
    </row>
    <row r="103" spans="1:22" s="19" customFormat="1" x14ac:dyDescent="0.25">
      <c r="A103" s="4" t="s">
        <v>277</v>
      </c>
      <c r="B103" s="16">
        <v>45118</v>
      </c>
      <c r="C103" s="7" t="s">
        <v>30</v>
      </c>
      <c r="D103" s="7" t="s">
        <v>13</v>
      </c>
      <c r="E103" s="7" t="s">
        <v>78</v>
      </c>
      <c r="F103" s="5">
        <v>16.989999999999998</v>
      </c>
      <c r="G103" s="7">
        <v>0</v>
      </c>
      <c r="H103" s="7">
        <v>0</v>
      </c>
      <c r="I103" s="15">
        <v>16096.666666666666</v>
      </c>
      <c r="J103" s="7">
        <v>1</v>
      </c>
      <c r="K103" s="21">
        <f t="shared" si="9"/>
        <v>16.989999999999998</v>
      </c>
      <c r="L103" s="20">
        <v>4235.96</v>
      </c>
      <c r="M103" s="12">
        <f t="shared" si="8"/>
        <v>88065.627066666668</v>
      </c>
      <c r="N103" s="13">
        <f t="shared" si="10"/>
        <v>88065.627066666668</v>
      </c>
      <c r="O103" s="10">
        <f t="shared" si="11"/>
        <v>0.98715441914156854</v>
      </c>
      <c r="P103" s="12">
        <v>175000</v>
      </c>
      <c r="Q103" s="11">
        <f t="shared" si="12"/>
        <v>86934.372933333332</v>
      </c>
      <c r="R103" s="7" t="s">
        <v>11</v>
      </c>
      <c r="S103" s="5" t="s">
        <v>77</v>
      </c>
      <c r="T103" s="7" t="s">
        <v>76</v>
      </c>
      <c r="U103" s="7">
        <v>2023</v>
      </c>
      <c r="V103" s="6"/>
    </row>
    <row r="104" spans="1:22" s="19" customFormat="1" x14ac:dyDescent="0.25">
      <c r="A104" s="4" t="s">
        <v>278</v>
      </c>
      <c r="B104" s="16">
        <v>45042</v>
      </c>
      <c r="C104" s="7" t="s">
        <v>32</v>
      </c>
      <c r="D104" s="7" t="s">
        <v>13</v>
      </c>
      <c r="E104" s="7" t="s">
        <v>75</v>
      </c>
      <c r="F104" s="5">
        <v>19.989999999999998</v>
      </c>
      <c r="G104" s="7">
        <v>0</v>
      </c>
      <c r="H104" s="7">
        <v>1.4000000000000001</v>
      </c>
      <c r="I104" s="15">
        <v>24535.9</v>
      </c>
      <c r="J104" s="7">
        <v>1</v>
      </c>
      <c r="K104" s="21">
        <f t="shared" si="9"/>
        <v>21.389999999999997</v>
      </c>
      <c r="L104" s="20">
        <v>4558.3308988216968</v>
      </c>
      <c r="M104" s="12">
        <f t="shared" si="8"/>
        <v>122038.59792579609</v>
      </c>
      <c r="N104" s="13">
        <f t="shared" si="10"/>
        <v>122038.59792579609</v>
      </c>
      <c r="O104" s="10">
        <f t="shared" si="11"/>
        <v>-1</v>
      </c>
      <c r="P104" s="12"/>
      <c r="Q104" s="11">
        <f t="shared" si="12"/>
        <v>-122038.59792579609</v>
      </c>
      <c r="R104" s="7" t="s">
        <v>11</v>
      </c>
      <c r="S104" s="5"/>
      <c r="T104" s="7"/>
      <c r="U104" s="7"/>
      <c r="V104" s="6"/>
    </row>
    <row r="105" spans="1:22" s="19" customFormat="1" x14ac:dyDescent="0.25">
      <c r="A105" s="4" t="s">
        <v>278</v>
      </c>
      <c r="B105" s="16">
        <v>45042</v>
      </c>
      <c r="C105" s="7" t="s">
        <v>32</v>
      </c>
      <c r="D105" s="7" t="s">
        <v>13</v>
      </c>
      <c r="E105" s="7" t="s">
        <v>74</v>
      </c>
      <c r="F105" s="5">
        <v>19.989999999999998</v>
      </c>
      <c r="G105" s="7">
        <v>0</v>
      </c>
      <c r="H105" s="7">
        <v>1.4000000000000001</v>
      </c>
      <c r="I105" s="15">
        <v>24535.9</v>
      </c>
      <c r="J105" s="7">
        <v>1</v>
      </c>
      <c r="K105" s="21">
        <f t="shared" si="9"/>
        <v>21.389999999999997</v>
      </c>
      <c r="L105" s="20">
        <v>4558.3308988216968</v>
      </c>
      <c r="M105" s="12">
        <f t="shared" si="8"/>
        <v>122038.59792579609</v>
      </c>
      <c r="N105" s="13">
        <f t="shared" si="10"/>
        <v>122038.59792579609</v>
      </c>
      <c r="O105" s="10">
        <f t="shared" si="11"/>
        <v>-1</v>
      </c>
      <c r="P105" s="12"/>
      <c r="Q105" s="11">
        <f t="shared" si="12"/>
        <v>-122038.59792579609</v>
      </c>
      <c r="R105" s="7" t="s">
        <v>11</v>
      </c>
      <c r="S105" s="5"/>
      <c r="T105" s="7"/>
      <c r="U105" s="7"/>
      <c r="V105" s="6"/>
    </row>
    <row r="106" spans="1:22" s="19" customFormat="1" x14ac:dyDescent="0.25">
      <c r="A106" s="4" t="s">
        <v>278</v>
      </c>
      <c r="B106" s="16">
        <v>45042</v>
      </c>
      <c r="C106" s="7" t="s">
        <v>32</v>
      </c>
      <c r="D106" s="7" t="s">
        <v>13</v>
      </c>
      <c r="E106" s="7" t="s">
        <v>73</v>
      </c>
      <c r="F106" s="5">
        <v>19.989999999999998</v>
      </c>
      <c r="G106" s="7">
        <v>0</v>
      </c>
      <c r="H106" s="7">
        <v>1.4000000000000001</v>
      </c>
      <c r="I106" s="15">
        <v>24535.9</v>
      </c>
      <c r="J106" s="7">
        <v>1</v>
      </c>
      <c r="K106" s="21">
        <f t="shared" si="9"/>
        <v>21.389999999999997</v>
      </c>
      <c r="L106" s="20">
        <v>4558.3308988216968</v>
      </c>
      <c r="M106" s="12">
        <f t="shared" si="8"/>
        <v>122038.59792579609</v>
      </c>
      <c r="N106" s="13">
        <f t="shared" si="10"/>
        <v>122038.59792579609</v>
      </c>
      <c r="O106" s="10">
        <f t="shared" si="11"/>
        <v>-1</v>
      </c>
      <c r="P106" s="12"/>
      <c r="Q106" s="11">
        <f t="shared" si="12"/>
        <v>-122038.59792579609</v>
      </c>
      <c r="R106" s="7" t="s">
        <v>11</v>
      </c>
      <c r="S106" s="5"/>
      <c r="T106" s="7"/>
      <c r="U106" s="7"/>
      <c r="V106" s="6"/>
    </row>
    <row r="107" spans="1:22" s="19" customFormat="1" x14ac:dyDescent="0.25">
      <c r="A107" s="4" t="s">
        <v>275</v>
      </c>
      <c r="B107" s="16">
        <v>45042</v>
      </c>
      <c r="C107" s="7" t="s">
        <v>14</v>
      </c>
      <c r="D107" s="7" t="s">
        <v>13</v>
      </c>
      <c r="E107" s="7" t="s">
        <v>72</v>
      </c>
      <c r="F107" s="5">
        <v>31.99</v>
      </c>
      <c r="G107" s="7">
        <v>0</v>
      </c>
      <c r="H107" s="7">
        <v>2.2400000000000002</v>
      </c>
      <c r="I107" s="15">
        <v>24535.9</v>
      </c>
      <c r="J107" s="7">
        <v>1</v>
      </c>
      <c r="K107" s="21">
        <f t="shared" si="9"/>
        <v>34.229999999999997</v>
      </c>
      <c r="L107" s="20">
        <v>4558.3308988216968</v>
      </c>
      <c r="M107" s="12">
        <f t="shared" si="8"/>
        <v>180567.56666666665</v>
      </c>
      <c r="N107" s="13">
        <f t="shared" si="10"/>
        <v>180567.56666666665</v>
      </c>
      <c r="O107" s="10">
        <f t="shared" si="11"/>
        <v>-1</v>
      </c>
      <c r="P107" s="12"/>
      <c r="Q107" s="11">
        <f t="shared" si="12"/>
        <v>-180567.56666666665</v>
      </c>
      <c r="R107" s="7" t="s">
        <v>11</v>
      </c>
      <c r="S107" s="5"/>
      <c r="T107" s="7"/>
      <c r="U107" s="7"/>
      <c r="V107" s="6"/>
    </row>
    <row r="108" spans="1:22" s="19" customFormat="1" x14ac:dyDescent="0.25">
      <c r="A108" s="4" t="s">
        <v>275</v>
      </c>
      <c r="B108" s="16">
        <v>45042</v>
      </c>
      <c r="C108" s="7" t="s">
        <v>14</v>
      </c>
      <c r="D108" s="7" t="s">
        <v>13</v>
      </c>
      <c r="E108" s="7" t="s">
        <v>71</v>
      </c>
      <c r="F108" s="5">
        <v>31.99</v>
      </c>
      <c r="G108" s="7">
        <v>0</v>
      </c>
      <c r="H108" s="7">
        <v>2.2400000000000002</v>
      </c>
      <c r="I108" s="15">
        <v>24535.9</v>
      </c>
      <c r="J108" s="7">
        <v>1</v>
      </c>
      <c r="K108" s="21">
        <f t="shared" si="9"/>
        <v>34.229999999999997</v>
      </c>
      <c r="L108" s="20">
        <v>4558.3308988216968</v>
      </c>
      <c r="M108" s="12">
        <f t="shared" si="8"/>
        <v>180567.56666666665</v>
      </c>
      <c r="N108" s="13">
        <f t="shared" si="10"/>
        <v>180567.56666666665</v>
      </c>
      <c r="O108" s="10">
        <f t="shared" si="11"/>
        <v>-1</v>
      </c>
      <c r="P108" s="12"/>
      <c r="Q108" s="11">
        <f t="shared" si="12"/>
        <v>-180567.56666666665</v>
      </c>
      <c r="R108" s="7" t="s">
        <v>11</v>
      </c>
      <c r="S108" s="5"/>
      <c r="T108" s="7"/>
      <c r="U108" s="7"/>
      <c r="V108" s="6"/>
    </row>
    <row r="109" spans="1:22" s="19" customFormat="1" x14ac:dyDescent="0.25">
      <c r="A109" s="4" t="s">
        <v>275</v>
      </c>
      <c r="B109" s="16">
        <v>45042</v>
      </c>
      <c r="C109" s="7" t="s">
        <v>14</v>
      </c>
      <c r="D109" s="7" t="s">
        <v>13</v>
      </c>
      <c r="E109" s="7" t="s">
        <v>70</v>
      </c>
      <c r="F109" s="5">
        <v>31.99</v>
      </c>
      <c r="G109" s="7">
        <v>0</v>
      </c>
      <c r="H109" s="7">
        <v>2.2400000000000002</v>
      </c>
      <c r="I109" s="15">
        <v>24535.9</v>
      </c>
      <c r="J109" s="7">
        <v>1</v>
      </c>
      <c r="K109" s="21">
        <f t="shared" si="9"/>
        <v>34.229999999999997</v>
      </c>
      <c r="L109" s="20">
        <v>4558.3308988216968</v>
      </c>
      <c r="M109" s="12">
        <f t="shared" si="8"/>
        <v>180567.56666666665</v>
      </c>
      <c r="N109" s="13">
        <f t="shared" si="10"/>
        <v>180567.56666666665</v>
      </c>
      <c r="O109" s="10">
        <f t="shared" si="11"/>
        <v>-1</v>
      </c>
      <c r="P109" s="12"/>
      <c r="Q109" s="11">
        <f t="shared" si="12"/>
        <v>-180567.56666666665</v>
      </c>
      <c r="R109" s="7" t="s">
        <v>11</v>
      </c>
      <c r="S109" s="5"/>
      <c r="T109" s="7"/>
      <c r="U109" s="7"/>
      <c r="V109" s="6"/>
    </row>
    <row r="110" spans="1:22" s="19" customFormat="1" x14ac:dyDescent="0.25">
      <c r="A110" s="4" t="s">
        <v>278</v>
      </c>
      <c r="B110" s="16">
        <v>44891</v>
      </c>
      <c r="C110" s="7" t="s">
        <v>32</v>
      </c>
      <c r="D110" s="7" t="s">
        <v>13</v>
      </c>
      <c r="E110" s="7" t="s">
        <v>69</v>
      </c>
      <c r="F110" s="5">
        <v>14.99</v>
      </c>
      <c r="G110" s="7">
        <v>0</v>
      </c>
      <c r="H110" s="22">
        <v>1.3416666666666668</v>
      </c>
      <c r="I110" s="15">
        <v>24535.9</v>
      </c>
      <c r="J110" s="7">
        <v>1</v>
      </c>
      <c r="K110" s="21">
        <f t="shared" si="9"/>
        <v>16.331666666666667</v>
      </c>
      <c r="L110" s="20">
        <v>4968.8900000000003</v>
      </c>
      <c r="M110" s="12">
        <f t="shared" si="8"/>
        <v>105686.15518333335</v>
      </c>
      <c r="N110" s="13">
        <f t="shared" si="10"/>
        <v>105686.15518333335</v>
      </c>
      <c r="O110" s="10">
        <f t="shared" si="11"/>
        <v>-1</v>
      </c>
      <c r="P110" s="12"/>
      <c r="Q110" s="11">
        <f t="shared" si="12"/>
        <v>-105686.15518333335</v>
      </c>
      <c r="R110" s="7" t="s">
        <v>11</v>
      </c>
      <c r="S110" s="5"/>
      <c r="T110" s="7"/>
      <c r="U110" s="7"/>
      <c r="V110" s="6"/>
    </row>
    <row r="111" spans="1:22" s="19" customFormat="1" x14ac:dyDescent="0.25">
      <c r="A111" s="4" t="s">
        <v>278</v>
      </c>
      <c r="B111" s="16">
        <v>44891</v>
      </c>
      <c r="C111" s="7" t="s">
        <v>32</v>
      </c>
      <c r="D111" s="7" t="s">
        <v>13</v>
      </c>
      <c r="E111" s="7" t="s">
        <v>68</v>
      </c>
      <c r="F111" s="5">
        <v>14.99</v>
      </c>
      <c r="G111" s="7">
        <v>0</v>
      </c>
      <c r="H111" s="22">
        <v>1.3416666666666668</v>
      </c>
      <c r="I111" s="15">
        <v>24535.9</v>
      </c>
      <c r="J111" s="7">
        <v>1</v>
      </c>
      <c r="K111" s="21">
        <f t="shared" si="9"/>
        <v>16.331666666666667</v>
      </c>
      <c r="L111" s="20">
        <v>4968.8900000000003</v>
      </c>
      <c r="M111" s="12">
        <f t="shared" si="8"/>
        <v>105686.15518333335</v>
      </c>
      <c r="N111" s="13">
        <f t="shared" si="10"/>
        <v>105686.15518333335</v>
      </c>
      <c r="O111" s="10">
        <f t="shared" si="11"/>
        <v>-1</v>
      </c>
      <c r="P111" s="12"/>
      <c r="Q111" s="11">
        <f t="shared" si="12"/>
        <v>-105686.15518333335</v>
      </c>
      <c r="R111" s="7" t="s">
        <v>11</v>
      </c>
      <c r="S111" s="5"/>
      <c r="T111" s="7"/>
      <c r="U111" s="7"/>
      <c r="V111" s="6"/>
    </row>
    <row r="112" spans="1:22" s="19" customFormat="1" x14ac:dyDescent="0.25">
      <c r="A112" s="4" t="s">
        <v>278</v>
      </c>
      <c r="B112" s="16">
        <v>44891</v>
      </c>
      <c r="C112" s="7" t="s">
        <v>32</v>
      </c>
      <c r="D112" s="7" t="s">
        <v>13</v>
      </c>
      <c r="E112" s="7" t="s">
        <v>67</v>
      </c>
      <c r="F112" s="5">
        <v>14.99</v>
      </c>
      <c r="G112" s="7">
        <v>0</v>
      </c>
      <c r="H112" s="22">
        <v>1.3416666666666668</v>
      </c>
      <c r="I112" s="15">
        <v>24535.9</v>
      </c>
      <c r="J112" s="7">
        <v>1</v>
      </c>
      <c r="K112" s="21">
        <f t="shared" si="9"/>
        <v>16.331666666666667</v>
      </c>
      <c r="L112" s="20">
        <v>4968.8900000000003</v>
      </c>
      <c r="M112" s="12">
        <f t="shared" si="8"/>
        <v>105686.15518333335</v>
      </c>
      <c r="N112" s="13">
        <f t="shared" si="10"/>
        <v>105686.15518333335</v>
      </c>
      <c r="O112" s="10">
        <f t="shared" si="11"/>
        <v>-1</v>
      </c>
      <c r="P112" s="12"/>
      <c r="Q112" s="11">
        <f t="shared" si="12"/>
        <v>-105686.15518333335</v>
      </c>
      <c r="R112" s="7" t="s">
        <v>11</v>
      </c>
      <c r="S112" s="5"/>
      <c r="T112" s="7"/>
      <c r="U112" s="7"/>
      <c r="V112" s="6"/>
    </row>
    <row r="113" spans="1:22" s="19" customFormat="1" x14ac:dyDescent="0.25">
      <c r="A113" s="4" t="s">
        <v>277</v>
      </c>
      <c r="B113" s="16">
        <v>44891</v>
      </c>
      <c r="C113" s="7" t="s">
        <v>30</v>
      </c>
      <c r="D113" s="7" t="s">
        <v>13</v>
      </c>
      <c r="E113" s="7" t="s">
        <v>66</v>
      </c>
      <c r="F113" s="5">
        <v>19.989999999999998</v>
      </c>
      <c r="G113" s="7">
        <v>0</v>
      </c>
      <c r="H113" s="22">
        <v>1.3416666666666668</v>
      </c>
      <c r="I113" s="15">
        <v>24535.9</v>
      </c>
      <c r="J113" s="7">
        <v>1</v>
      </c>
      <c r="K113" s="21">
        <f t="shared" si="9"/>
        <v>21.331666666666663</v>
      </c>
      <c r="L113" s="20">
        <v>4968.8900000000003</v>
      </c>
      <c r="M113" s="12">
        <f t="shared" si="8"/>
        <v>130530.60518333333</v>
      </c>
      <c r="N113" s="13">
        <f t="shared" si="10"/>
        <v>130530.60518333333</v>
      </c>
      <c r="O113" s="10">
        <f t="shared" si="11"/>
        <v>-1</v>
      </c>
      <c r="P113" s="12"/>
      <c r="Q113" s="11">
        <f t="shared" si="12"/>
        <v>-130530.60518333333</v>
      </c>
      <c r="R113" s="7" t="s">
        <v>11</v>
      </c>
      <c r="S113" s="5"/>
      <c r="T113" s="7"/>
      <c r="U113" s="7"/>
      <c r="V113" s="6"/>
    </row>
    <row r="114" spans="1:22" s="19" customFormat="1" x14ac:dyDescent="0.25">
      <c r="A114" s="4" t="s">
        <v>277</v>
      </c>
      <c r="B114" s="16">
        <v>44891</v>
      </c>
      <c r="C114" s="7" t="s">
        <v>30</v>
      </c>
      <c r="D114" s="7" t="s">
        <v>13</v>
      </c>
      <c r="E114" s="7" t="s">
        <v>65</v>
      </c>
      <c r="F114" s="5">
        <v>19.989999999999998</v>
      </c>
      <c r="G114" s="7">
        <v>0</v>
      </c>
      <c r="H114" s="22">
        <v>1.3416666666666668</v>
      </c>
      <c r="I114" s="15">
        <v>24535.9</v>
      </c>
      <c r="J114" s="7">
        <v>1</v>
      </c>
      <c r="K114" s="21">
        <f t="shared" si="9"/>
        <v>21.331666666666663</v>
      </c>
      <c r="L114" s="20">
        <v>4968.8900000000003</v>
      </c>
      <c r="M114" s="12">
        <f t="shared" si="8"/>
        <v>130530.60518333333</v>
      </c>
      <c r="N114" s="13">
        <f t="shared" si="10"/>
        <v>130530.60518333333</v>
      </c>
      <c r="O114" s="10">
        <f t="shared" si="11"/>
        <v>-1</v>
      </c>
      <c r="P114" s="12"/>
      <c r="Q114" s="11">
        <f t="shared" si="12"/>
        <v>-130530.60518333333</v>
      </c>
      <c r="R114" s="7" t="s">
        <v>11</v>
      </c>
      <c r="S114" s="5"/>
      <c r="T114" s="7"/>
      <c r="U114" s="7"/>
      <c r="V114" s="6"/>
    </row>
    <row r="115" spans="1:22" s="19" customFormat="1" x14ac:dyDescent="0.25">
      <c r="A115" s="4" t="s">
        <v>277</v>
      </c>
      <c r="B115" s="16">
        <v>44891</v>
      </c>
      <c r="C115" s="7" t="s">
        <v>30</v>
      </c>
      <c r="D115" s="7" t="s">
        <v>13</v>
      </c>
      <c r="E115" s="7" t="s">
        <v>64</v>
      </c>
      <c r="F115" s="5">
        <v>19.989999999999998</v>
      </c>
      <c r="G115" s="7">
        <v>0</v>
      </c>
      <c r="H115" s="22">
        <v>1.3416666666666668</v>
      </c>
      <c r="I115" s="15">
        <v>24535.9</v>
      </c>
      <c r="J115" s="7">
        <v>1</v>
      </c>
      <c r="K115" s="21">
        <f t="shared" si="9"/>
        <v>21.331666666666663</v>
      </c>
      <c r="L115" s="20">
        <v>4968.8900000000003</v>
      </c>
      <c r="M115" s="12">
        <f t="shared" si="8"/>
        <v>130530.60518333333</v>
      </c>
      <c r="N115" s="13">
        <f t="shared" si="10"/>
        <v>130530.60518333333</v>
      </c>
      <c r="O115" s="10">
        <f t="shared" si="11"/>
        <v>-1</v>
      </c>
      <c r="P115" s="12"/>
      <c r="Q115" s="11">
        <f t="shared" si="12"/>
        <v>-130530.60518333333</v>
      </c>
      <c r="R115" s="7" t="s">
        <v>11</v>
      </c>
      <c r="S115" s="5"/>
      <c r="T115" s="7"/>
      <c r="U115" s="7"/>
      <c r="V115" s="6"/>
    </row>
    <row r="116" spans="1:22" s="19" customFormat="1" x14ac:dyDescent="0.25">
      <c r="A116" s="4" t="s">
        <v>275</v>
      </c>
      <c r="B116" s="16">
        <v>44891</v>
      </c>
      <c r="C116" s="7" t="s">
        <v>14</v>
      </c>
      <c r="D116" s="7" t="s">
        <v>13</v>
      </c>
      <c r="E116" s="7" t="s">
        <v>63</v>
      </c>
      <c r="F116" s="5">
        <v>24.99</v>
      </c>
      <c r="G116" s="7">
        <v>0</v>
      </c>
      <c r="H116" s="22">
        <v>1.3416666666666668</v>
      </c>
      <c r="I116" s="15">
        <v>24535.9</v>
      </c>
      <c r="J116" s="7">
        <v>1</v>
      </c>
      <c r="K116" s="21">
        <f t="shared" si="9"/>
        <v>26.331666666666663</v>
      </c>
      <c r="L116" s="20">
        <v>4968.8900000000003</v>
      </c>
      <c r="M116" s="12">
        <f t="shared" si="8"/>
        <v>155375.05518333332</v>
      </c>
      <c r="N116" s="13">
        <f t="shared" si="10"/>
        <v>155375.05518333332</v>
      </c>
      <c r="O116" s="10">
        <f t="shared" si="11"/>
        <v>-1</v>
      </c>
      <c r="P116" s="12"/>
      <c r="Q116" s="11">
        <f t="shared" si="12"/>
        <v>-155375.05518333332</v>
      </c>
      <c r="R116" s="7" t="s">
        <v>11</v>
      </c>
      <c r="S116" s="5"/>
      <c r="T116" s="7"/>
      <c r="U116" s="7"/>
      <c r="V116" s="6"/>
    </row>
    <row r="117" spans="1:22" s="19" customFormat="1" x14ac:dyDescent="0.25">
      <c r="A117" s="4" t="s">
        <v>275</v>
      </c>
      <c r="B117" s="16">
        <v>44891</v>
      </c>
      <c r="C117" s="7" t="s">
        <v>14</v>
      </c>
      <c r="D117" s="7" t="s">
        <v>13</v>
      </c>
      <c r="E117" s="7" t="s">
        <v>62</v>
      </c>
      <c r="F117" s="5">
        <v>24.99</v>
      </c>
      <c r="G117" s="7">
        <v>0</v>
      </c>
      <c r="H117" s="22">
        <v>1.3416666666666668</v>
      </c>
      <c r="I117" s="15">
        <v>24535.9</v>
      </c>
      <c r="J117" s="7">
        <v>1</v>
      </c>
      <c r="K117" s="21">
        <f t="shared" si="9"/>
        <v>26.331666666666663</v>
      </c>
      <c r="L117" s="20">
        <v>4968.8900000000003</v>
      </c>
      <c r="M117" s="12">
        <f t="shared" si="8"/>
        <v>155375.05518333332</v>
      </c>
      <c r="N117" s="13">
        <f t="shared" si="10"/>
        <v>155375.05518333332</v>
      </c>
      <c r="O117" s="10">
        <f t="shared" si="11"/>
        <v>-1</v>
      </c>
      <c r="P117" s="12"/>
      <c r="Q117" s="11">
        <f t="shared" si="12"/>
        <v>-155375.05518333332</v>
      </c>
      <c r="R117" s="7" t="s">
        <v>11</v>
      </c>
      <c r="S117" s="5"/>
      <c r="T117" s="7"/>
      <c r="U117" s="7"/>
      <c r="V117" s="6"/>
    </row>
    <row r="118" spans="1:22" s="19" customFormat="1" x14ac:dyDescent="0.25">
      <c r="A118" s="4" t="s">
        <v>275</v>
      </c>
      <c r="B118" s="16">
        <v>44891</v>
      </c>
      <c r="C118" s="7" t="s">
        <v>14</v>
      </c>
      <c r="D118" s="7" t="s">
        <v>13</v>
      </c>
      <c r="E118" s="7" t="s">
        <v>61</v>
      </c>
      <c r="F118" s="5">
        <v>24.99</v>
      </c>
      <c r="G118" s="7">
        <v>0</v>
      </c>
      <c r="H118" s="22">
        <v>1.3416666666666668</v>
      </c>
      <c r="I118" s="15">
        <v>24535.9</v>
      </c>
      <c r="J118" s="7">
        <v>1</v>
      </c>
      <c r="K118" s="21">
        <f t="shared" si="9"/>
        <v>26.331666666666663</v>
      </c>
      <c r="L118" s="20">
        <v>4968.8900000000003</v>
      </c>
      <c r="M118" s="12">
        <f t="shared" si="8"/>
        <v>155375.05518333332</v>
      </c>
      <c r="N118" s="13">
        <f t="shared" si="10"/>
        <v>155375.05518333332</v>
      </c>
      <c r="O118" s="10">
        <f t="shared" si="11"/>
        <v>-1</v>
      </c>
      <c r="P118" s="12"/>
      <c r="Q118" s="11">
        <f t="shared" si="12"/>
        <v>-155375.05518333332</v>
      </c>
      <c r="R118" s="7" t="s">
        <v>11</v>
      </c>
      <c r="S118" s="7"/>
      <c r="T118" s="7"/>
      <c r="U118" s="7"/>
      <c r="V118" s="7"/>
    </row>
    <row r="119" spans="1:22" s="19" customFormat="1" x14ac:dyDescent="0.25">
      <c r="A119" s="4" t="s">
        <v>275</v>
      </c>
      <c r="B119" s="16">
        <v>44883</v>
      </c>
      <c r="C119" s="7" t="s">
        <v>14</v>
      </c>
      <c r="D119" s="7" t="s">
        <v>13</v>
      </c>
      <c r="E119" s="7" t="s">
        <v>60</v>
      </c>
      <c r="F119" s="5">
        <v>24.99</v>
      </c>
      <c r="G119" s="7">
        <v>0</v>
      </c>
      <c r="H119" s="7">
        <f>5.25/3</f>
        <v>1.75</v>
      </c>
      <c r="I119" s="15">
        <v>24926</v>
      </c>
      <c r="J119" s="7">
        <v>1</v>
      </c>
      <c r="K119" s="21">
        <f t="shared" si="9"/>
        <v>26.74</v>
      </c>
      <c r="L119" s="20">
        <v>5104.2</v>
      </c>
      <c r="M119" s="12">
        <f t="shared" si="8"/>
        <v>161412.30799999999</v>
      </c>
      <c r="N119" s="13">
        <f t="shared" si="10"/>
        <v>161412.30799999999</v>
      </c>
      <c r="O119" s="10">
        <f t="shared" si="11"/>
        <v>-1</v>
      </c>
      <c r="P119" s="12"/>
      <c r="Q119" s="11">
        <f t="shared" si="12"/>
        <v>-161412.30799999999</v>
      </c>
      <c r="R119" s="7" t="s">
        <v>11</v>
      </c>
      <c r="S119" s="7"/>
      <c r="T119" s="7"/>
      <c r="U119" s="7"/>
      <c r="V119" s="7"/>
    </row>
    <row r="120" spans="1:22" s="19" customFormat="1" x14ac:dyDescent="0.25">
      <c r="A120" s="4" t="s">
        <v>275</v>
      </c>
      <c r="B120" s="16">
        <v>44883</v>
      </c>
      <c r="C120" s="7" t="s">
        <v>14</v>
      </c>
      <c r="D120" s="7" t="s">
        <v>13</v>
      </c>
      <c r="E120" s="7" t="s">
        <v>59</v>
      </c>
      <c r="F120" s="5">
        <v>24.99</v>
      </c>
      <c r="G120" s="7">
        <v>0</v>
      </c>
      <c r="H120" s="7">
        <f>5.25/3</f>
        <v>1.75</v>
      </c>
      <c r="I120" s="15">
        <v>24926</v>
      </c>
      <c r="J120" s="7">
        <v>1</v>
      </c>
      <c r="K120" s="21">
        <f t="shared" si="9"/>
        <v>26.74</v>
      </c>
      <c r="L120" s="20">
        <v>5104.2</v>
      </c>
      <c r="M120" s="12">
        <f t="shared" si="8"/>
        <v>161412.30799999999</v>
      </c>
      <c r="N120" s="13">
        <f t="shared" si="10"/>
        <v>161412.30799999999</v>
      </c>
      <c r="O120" s="10">
        <f t="shared" si="11"/>
        <v>-1</v>
      </c>
      <c r="P120" s="12"/>
      <c r="Q120" s="11">
        <f t="shared" si="12"/>
        <v>-161412.30799999999</v>
      </c>
      <c r="R120" s="7" t="s">
        <v>11</v>
      </c>
      <c r="S120" s="7"/>
      <c r="T120" s="7"/>
      <c r="U120" s="7"/>
      <c r="V120" s="7"/>
    </row>
    <row r="121" spans="1:22" s="19" customFormat="1" x14ac:dyDescent="0.25">
      <c r="A121" s="4" t="s">
        <v>275</v>
      </c>
      <c r="B121" s="16">
        <v>44837</v>
      </c>
      <c r="C121" s="7" t="s">
        <v>14</v>
      </c>
      <c r="D121" s="7" t="s">
        <v>13</v>
      </c>
      <c r="E121" s="7" t="s">
        <v>58</v>
      </c>
      <c r="F121" s="7">
        <v>24.99</v>
      </c>
      <c r="G121" s="7">
        <v>0</v>
      </c>
      <c r="H121" s="7">
        <f>5.25/3</f>
        <v>1.75</v>
      </c>
      <c r="I121" s="15">
        <f t="shared" ref="I121:I126" si="14">168330/8</f>
        <v>21041.25</v>
      </c>
      <c r="J121" s="7">
        <v>1</v>
      </c>
      <c r="K121" s="21">
        <f t="shared" si="9"/>
        <v>26.74</v>
      </c>
      <c r="L121" s="20">
        <v>4707.9624781849916</v>
      </c>
      <c r="M121" s="12">
        <f t="shared" si="8"/>
        <v>146932.16666666669</v>
      </c>
      <c r="N121" s="13">
        <f t="shared" si="10"/>
        <v>146932.16666666669</v>
      </c>
      <c r="O121" s="10">
        <f t="shared" si="11"/>
        <v>-1</v>
      </c>
      <c r="P121" s="12"/>
      <c r="Q121" s="11">
        <f t="shared" si="12"/>
        <v>-146932.16666666669</v>
      </c>
      <c r="R121" s="7" t="s">
        <v>11</v>
      </c>
      <c r="S121" s="5"/>
      <c r="T121" s="5"/>
      <c r="U121" s="5"/>
      <c r="V121" s="5" t="str">
        <f t="shared" ref="V121:V152" si="15">IF(U121&gt;=2024,"SI","NO")</f>
        <v>NO</v>
      </c>
    </row>
    <row r="122" spans="1:22" s="19" customFormat="1" x14ac:dyDescent="0.25">
      <c r="A122" s="4" t="s">
        <v>275</v>
      </c>
      <c r="B122" s="16">
        <v>44837</v>
      </c>
      <c r="C122" s="7" t="s">
        <v>14</v>
      </c>
      <c r="D122" s="7" t="s">
        <v>13</v>
      </c>
      <c r="E122" s="7" t="s">
        <v>57</v>
      </c>
      <c r="F122" s="7">
        <v>24.99</v>
      </c>
      <c r="G122" s="7">
        <v>0</v>
      </c>
      <c r="H122" s="7">
        <f>5.25/3</f>
        <v>1.75</v>
      </c>
      <c r="I122" s="15">
        <f t="shared" si="14"/>
        <v>21041.25</v>
      </c>
      <c r="J122" s="7">
        <v>1</v>
      </c>
      <c r="K122" s="21">
        <f t="shared" si="9"/>
        <v>26.74</v>
      </c>
      <c r="L122" s="20">
        <v>4707.9624781849916</v>
      </c>
      <c r="M122" s="12">
        <f t="shared" si="8"/>
        <v>146932.16666666669</v>
      </c>
      <c r="N122" s="13">
        <f t="shared" si="10"/>
        <v>146932.16666666669</v>
      </c>
      <c r="O122" s="10">
        <f t="shared" si="11"/>
        <v>-1</v>
      </c>
      <c r="P122" s="12"/>
      <c r="Q122" s="11">
        <f t="shared" si="12"/>
        <v>-146932.16666666669</v>
      </c>
      <c r="R122" s="7" t="s">
        <v>11</v>
      </c>
      <c r="S122" s="5"/>
      <c r="T122" s="5"/>
      <c r="U122" s="5"/>
      <c r="V122" s="5" t="str">
        <f t="shared" si="15"/>
        <v>NO</v>
      </c>
    </row>
    <row r="123" spans="1:22" s="19" customFormat="1" x14ac:dyDescent="0.25">
      <c r="A123" s="4" t="s">
        <v>275</v>
      </c>
      <c r="B123" s="16">
        <v>44837</v>
      </c>
      <c r="C123" s="7" t="s">
        <v>14</v>
      </c>
      <c r="D123" s="7" t="s">
        <v>13</v>
      </c>
      <c r="E123" s="7" t="s">
        <v>56</v>
      </c>
      <c r="F123" s="7">
        <v>24.99</v>
      </c>
      <c r="G123" s="7">
        <v>0</v>
      </c>
      <c r="H123" s="7">
        <f>5.25/3</f>
        <v>1.75</v>
      </c>
      <c r="I123" s="15">
        <f t="shared" si="14"/>
        <v>21041.25</v>
      </c>
      <c r="J123" s="7">
        <v>1</v>
      </c>
      <c r="K123" s="21">
        <f t="shared" si="9"/>
        <v>26.74</v>
      </c>
      <c r="L123" s="20">
        <v>4707.9624781849916</v>
      </c>
      <c r="M123" s="12">
        <f t="shared" si="8"/>
        <v>146932.16666666669</v>
      </c>
      <c r="N123" s="13">
        <f t="shared" si="10"/>
        <v>146932.16666666669</v>
      </c>
      <c r="O123" s="10">
        <f t="shared" si="11"/>
        <v>-1</v>
      </c>
      <c r="P123" s="12"/>
      <c r="Q123" s="11">
        <f t="shared" si="12"/>
        <v>-146932.16666666669</v>
      </c>
      <c r="R123" s="7" t="s">
        <v>11</v>
      </c>
      <c r="S123" s="5"/>
      <c r="T123" s="5"/>
      <c r="U123" s="5"/>
      <c r="V123" s="5" t="str">
        <f t="shared" si="15"/>
        <v>NO</v>
      </c>
    </row>
    <row r="124" spans="1:22" s="19" customFormat="1" x14ac:dyDescent="0.25">
      <c r="A124" s="4" t="s">
        <v>277</v>
      </c>
      <c r="B124" s="16">
        <v>44837</v>
      </c>
      <c r="C124" s="7" t="s">
        <v>30</v>
      </c>
      <c r="D124" s="7" t="s">
        <v>13</v>
      </c>
      <c r="E124" s="7" t="s">
        <v>55</v>
      </c>
      <c r="F124" s="7">
        <v>19.989999999999998</v>
      </c>
      <c r="G124" s="7">
        <v>0</v>
      </c>
      <c r="H124" s="7">
        <f>4.2/3</f>
        <v>1.4000000000000001</v>
      </c>
      <c r="I124" s="15">
        <f t="shared" si="14"/>
        <v>21041.25</v>
      </c>
      <c r="J124" s="7">
        <v>1</v>
      </c>
      <c r="K124" s="21">
        <f t="shared" si="9"/>
        <v>21.389999999999997</v>
      </c>
      <c r="L124" s="20">
        <v>4707.9624781849916</v>
      </c>
      <c r="M124" s="12">
        <f t="shared" si="8"/>
        <v>121744.56740837696</v>
      </c>
      <c r="N124" s="13">
        <f t="shared" si="10"/>
        <v>121744.56740837696</v>
      </c>
      <c r="O124" s="10">
        <f t="shared" si="11"/>
        <v>-1</v>
      </c>
      <c r="P124" s="12"/>
      <c r="Q124" s="11">
        <f t="shared" si="12"/>
        <v>-121744.56740837696</v>
      </c>
      <c r="R124" s="7" t="s">
        <v>11</v>
      </c>
      <c r="S124" s="5"/>
      <c r="T124" s="5"/>
      <c r="U124" s="5"/>
      <c r="V124" s="5" t="str">
        <f t="shared" si="15"/>
        <v>NO</v>
      </c>
    </row>
    <row r="125" spans="1:22" s="19" customFormat="1" x14ac:dyDescent="0.25">
      <c r="A125" s="4" t="s">
        <v>277</v>
      </c>
      <c r="B125" s="16">
        <v>44837</v>
      </c>
      <c r="C125" s="7" t="s">
        <v>30</v>
      </c>
      <c r="D125" s="7" t="s">
        <v>13</v>
      </c>
      <c r="E125" s="7" t="s">
        <v>54</v>
      </c>
      <c r="F125" s="7">
        <v>19.989999999999998</v>
      </c>
      <c r="G125" s="7">
        <v>0</v>
      </c>
      <c r="H125" s="7">
        <f>4.2/3</f>
        <v>1.4000000000000001</v>
      </c>
      <c r="I125" s="15">
        <f t="shared" si="14"/>
        <v>21041.25</v>
      </c>
      <c r="J125" s="7">
        <v>1</v>
      </c>
      <c r="K125" s="21">
        <f t="shared" si="9"/>
        <v>21.389999999999997</v>
      </c>
      <c r="L125" s="20">
        <v>4707.9624781849916</v>
      </c>
      <c r="M125" s="12">
        <f t="shared" si="8"/>
        <v>121744.56740837696</v>
      </c>
      <c r="N125" s="13">
        <f t="shared" si="10"/>
        <v>121744.56740837696</v>
      </c>
      <c r="O125" s="10">
        <f t="shared" si="11"/>
        <v>-1</v>
      </c>
      <c r="P125" s="12"/>
      <c r="Q125" s="11">
        <f t="shared" si="12"/>
        <v>-121744.56740837696</v>
      </c>
      <c r="R125" s="7" t="s">
        <v>11</v>
      </c>
      <c r="S125" s="5"/>
      <c r="T125" s="5"/>
      <c r="U125" s="5"/>
      <c r="V125" s="5" t="str">
        <f t="shared" si="15"/>
        <v>NO</v>
      </c>
    </row>
    <row r="126" spans="1:22" s="19" customFormat="1" x14ac:dyDescent="0.25">
      <c r="A126" s="4" t="s">
        <v>277</v>
      </c>
      <c r="B126" s="16">
        <v>44837</v>
      </c>
      <c r="C126" s="7" t="s">
        <v>30</v>
      </c>
      <c r="D126" s="7" t="s">
        <v>13</v>
      </c>
      <c r="E126" s="7" t="s">
        <v>53</v>
      </c>
      <c r="F126" s="7">
        <v>19.989999999999998</v>
      </c>
      <c r="G126" s="7">
        <v>0</v>
      </c>
      <c r="H126" s="7">
        <f>4.2/3</f>
        <v>1.4000000000000001</v>
      </c>
      <c r="I126" s="15">
        <f t="shared" si="14"/>
        <v>21041.25</v>
      </c>
      <c r="J126" s="7">
        <v>1</v>
      </c>
      <c r="K126" s="21">
        <f t="shared" si="9"/>
        <v>21.389999999999997</v>
      </c>
      <c r="L126" s="20">
        <v>4707.9624781849916</v>
      </c>
      <c r="M126" s="12">
        <f t="shared" si="8"/>
        <v>121744.56740837696</v>
      </c>
      <c r="N126" s="13">
        <f t="shared" si="10"/>
        <v>121744.56740837696</v>
      </c>
      <c r="O126" s="10">
        <f t="shared" si="11"/>
        <v>-1</v>
      </c>
      <c r="P126" s="12"/>
      <c r="Q126" s="11">
        <f t="shared" si="12"/>
        <v>-121744.56740837696</v>
      </c>
      <c r="R126" s="7" t="s">
        <v>11</v>
      </c>
      <c r="S126" s="5"/>
      <c r="T126" s="5"/>
      <c r="U126" s="5"/>
      <c r="V126" s="5" t="str">
        <f t="shared" si="15"/>
        <v>NO</v>
      </c>
    </row>
    <row r="127" spans="1:22" s="19" customFormat="1" x14ac:dyDescent="0.25">
      <c r="A127" s="4" t="s">
        <v>275</v>
      </c>
      <c r="B127" s="16">
        <v>44816</v>
      </c>
      <c r="C127" s="7" t="s">
        <v>14</v>
      </c>
      <c r="D127" s="7" t="s">
        <v>13</v>
      </c>
      <c r="E127" s="7" t="s">
        <v>52</v>
      </c>
      <c r="F127" s="7">
        <v>29.99</v>
      </c>
      <c r="G127" s="7">
        <v>0</v>
      </c>
      <c r="H127" s="7">
        <f t="shared" ref="H127:H132" si="16">6.3/3</f>
        <v>2.1</v>
      </c>
      <c r="I127" s="18">
        <f>60758/3</f>
        <v>20252.666666666668</v>
      </c>
      <c r="J127" s="7">
        <v>1</v>
      </c>
      <c r="K127" s="21">
        <f t="shared" si="9"/>
        <v>32.089999999999996</v>
      </c>
      <c r="L127" s="20">
        <v>3834.68</v>
      </c>
      <c r="M127" s="12">
        <f t="shared" ref="M127:M132" si="17">(L127*K127)+I127</f>
        <v>143307.54786666663</v>
      </c>
      <c r="N127" s="13">
        <f t="shared" si="10"/>
        <v>143307.54786666663</v>
      </c>
      <c r="O127" s="10">
        <f t="shared" si="11"/>
        <v>-1</v>
      </c>
      <c r="P127" s="12"/>
      <c r="Q127" s="11">
        <f t="shared" si="12"/>
        <v>-143307.54786666663</v>
      </c>
      <c r="R127" s="7" t="s">
        <v>11</v>
      </c>
      <c r="S127" s="5"/>
      <c r="T127" s="5"/>
      <c r="U127" s="5"/>
      <c r="V127" s="5" t="str">
        <f t="shared" si="15"/>
        <v>NO</v>
      </c>
    </row>
    <row r="128" spans="1:22" s="19" customFormat="1" x14ac:dyDescent="0.25">
      <c r="A128" s="4" t="s">
        <v>275</v>
      </c>
      <c r="B128" s="16">
        <v>44816</v>
      </c>
      <c r="C128" s="7" t="s">
        <v>14</v>
      </c>
      <c r="D128" s="7" t="s">
        <v>13</v>
      </c>
      <c r="E128" s="7" t="s">
        <v>51</v>
      </c>
      <c r="F128" s="7">
        <v>29.99</v>
      </c>
      <c r="G128" s="7">
        <v>0</v>
      </c>
      <c r="H128" s="7">
        <f t="shared" si="16"/>
        <v>2.1</v>
      </c>
      <c r="I128" s="18">
        <f>60758/3</f>
        <v>20252.666666666668</v>
      </c>
      <c r="J128" s="7">
        <v>1</v>
      </c>
      <c r="K128" s="21">
        <f t="shared" si="9"/>
        <v>32.089999999999996</v>
      </c>
      <c r="L128" s="20">
        <v>3834.68</v>
      </c>
      <c r="M128" s="12">
        <f t="shared" si="17"/>
        <v>143307.54786666663</v>
      </c>
      <c r="N128" s="13">
        <f t="shared" si="10"/>
        <v>143307.54786666663</v>
      </c>
      <c r="O128" s="10">
        <f t="shared" si="11"/>
        <v>-1</v>
      </c>
      <c r="P128" s="12"/>
      <c r="Q128" s="11">
        <f t="shared" si="12"/>
        <v>-143307.54786666663</v>
      </c>
      <c r="R128" s="7" t="s">
        <v>11</v>
      </c>
      <c r="S128" s="5"/>
      <c r="T128" s="5"/>
      <c r="U128" s="5"/>
      <c r="V128" s="5" t="str">
        <f t="shared" si="15"/>
        <v>NO</v>
      </c>
    </row>
    <row r="129" spans="1:22" s="19" customFormat="1" x14ac:dyDescent="0.25">
      <c r="A129" s="4" t="s">
        <v>275</v>
      </c>
      <c r="B129" s="16">
        <v>44816</v>
      </c>
      <c r="C129" s="7" t="s">
        <v>14</v>
      </c>
      <c r="D129" s="7" t="s">
        <v>13</v>
      </c>
      <c r="E129" s="7" t="s">
        <v>50</v>
      </c>
      <c r="F129" s="7">
        <v>29.99</v>
      </c>
      <c r="G129" s="7">
        <v>0</v>
      </c>
      <c r="H129" s="7">
        <f t="shared" si="16"/>
        <v>2.1</v>
      </c>
      <c r="I129" s="18">
        <f>60758/3</f>
        <v>20252.666666666668</v>
      </c>
      <c r="J129" s="7">
        <v>1</v>
      </c>
      <c r="K129" s="21">
        <f t="shared" si="9"/>
        <v>32.089999999999996</v>
      </c>
      <c r="L129" s="20">
        <v>3834.68</v>
      </c>
      <c r="M129" s="12">
        <f t="shared" si="17"/>
        <v>143307.54786666663</v>
      </c>
      <c r="N129" s="13">
        <f t="shared" si="10"/>
        <v>143307.54786666663</v>
      </c>
      <c r="O129" s="10">
        <f t="shared" si="11"/>
        <v>-1</v>
      </c>
      <c r="P129" s="12"/>
      <c r="Q129" s="11">
        <f t="shared" si="12"/>
        <v>-143307.54786666663</v>
      </c>
      <c r="R129" s="7" t="s">
        <v>11</v>
      </c>
      <c r="S129" s="5"/>
      <c r="T129" s="5"/>
      <c r="U129" s="5"/>
      <c r="V129" s="5" t="str">
        <f t="shared" si="15"/>
        <v>NO</v>
      </c>
    </row>
    <row r="130" spans="1:22" s="19" customFormat="1" x14ac:dyDescent="0.25">
      <c r="A130" s="4" t="s">
        <v>275</v>
      </c>
      <c r="B130" s="16">
        <v>44798</v>
      </c>
      <c r="C130" s="7" t="s">
        <v>14</v>
      </c>
      <c r="D130" s="7" t="s">
        <v>13</v>
      </c>
      <c r="E130" s="7" t="s">
        <v>49</v>
      </c>
      <c r="F130" s="7">
        <v>29.99</v>
      </c>
      <c r="G130" s="7">
        <v>0</v>
      </c>
      <c r="H130" s="7">
        <f t="shared" si="16"/>
        <v>2.1</v>
      </c>
      <c r="I130" s="18">
        <f>60917/3</f>
        <v>20305.666666666668</v>
      </c>
      <c r="J130" s="7">
        <v>1</v>
      </c>
      <c r="K130" s="21">
        <f t="shared" ref="K130:K132" si="18">SUBTOTAL(9,F130:H130)</f>
        <v>32.089999999999996</v>
      </c>
      <c r="L130" s="20">
        <v>3834.13</v>
      </c>
      <c r="M130" s="12">
        <f t="shared" si="17"/>
        <v>143342.89836666666</v>
      </c>
      <c r="N130" s="13">
        <f t="shared" ref="N130:N144" si="19">SUM(M130:M130)</f>
        <v>143342.89836666666</v>
      </c>
      <c r="O130" s="10">
        <f t="shared" ref="O130:O153" si="20">(P130-N130)/N130*100%</f>
        <v>-1</v>
      </c>
      <c r="P130" s="12"/>
      <c r="Q130" s="11">
        <f t="shared" ref="Q130:Q152" si="21">P130-N130</f>
        <v>-143342.89836666666</v>
      </c>
      <c r="R130" s="7" t="s">
        <v>11</v>
      </c>
      <c r="S130" s="5"/>
      <c r="T130" s="5"/>
      <c r="U130" s="5"/>
      <c r="V130" s="5" t="str">
        <f t="shared" si="15"/>
        <v>NO</v>
      </c>
    </row>
    <row r="131" spans="1:22" s="19" customFormat="1" x14ac:dyDescent="0.25">
      <c r="A131" s="4" t="s">
        <v>275</v>
      </c>
      <c r="B131" s="16">
        <v>44798</v>
      </c>
      <c r="C131" s="7" t="s">
        <v>14</v>
      </c>
      <c r="D131" s="7" t="s">
        <v>13</v>
      </c>
      <c r="E131" s="7" t="s">
        <v>48</v>
      </c>
      <c r="F131" s="7">
        <v>29.99</v>
      </c>
      <c r="G131" s="7">
        <v>0</v>
      </c>
      <c r="H131" s="7">
        <f t="shared" si="16"/>
        <v>2.1</v>
      </c>
      <c r="I131" s="18">
        <f>60917/3</f>
        <v>20305.666666666668</v>
      </c>
      <c r="J131" s="7">
        <v>1</v>
      </c>
      <c r="K131" s="21">
        <f t="shared" si="18"/>
        <v>32.089999999999996</v>
      </c>
      <c r="L131" s="20">
        <v>3834.13</v>
      </c>
      <c r="M131" s="12">
        <f t="shared" si="17"/>
        <v>143342.89836666666</v>
      </c>
      <c r="N131" s="13">
        <f t="shared" si="19"/>
        <v>143342.89836666666</v>
      </c>
      <c r="O131" s="10">
        <f t="shared" si="20"/>
        <v>-1</v>
      </c>
      <c r="P131" s="12"/>
      <c r="Q131" s="11">
        <f t="shared" si="21"/>
        <v>-143342.89836666666</v>
      </c>
      <c r="R131" s="7" t="s">
        <v>11</v>
      </c>
      <c r="S131" s="5"/>
      <c r="T131" s="5"/>
      <c r="U131" s="5"/>
      <c r="V131" s="5" t="str">
        <f t="shared" si="15"/>
        <v>NO</v>
      </c>
    </row>
    <row r="132" spans="1:22" s="19" customFormat="1" x14ac:dyDescent="0.25">
      <c r="A132" s="4" t="s">
        <v>275</v>
      </c>
      <c r="B132" s="16">
        <v>44798</v>
      </c>
      <c r="C132" s="7" t="s">
        <v>14</v>
      </c>
      <c r="D132" s="7" t="s">
        <v>13</v>
      </c>
      <c r="E132" s="7" t="s">
        <v>47</v>
      </c>
      <c r="F132" s="7">
        <v>29.99</v>
      </c>
      <c r="G132" s="7">
        <v>0</v>
      </c>
      <c r="H132" s="7">
        <f t="shared" si="16"/>
        <v>2.1</v>
      </c>
      <c r="I132" s="18">
        <f>60917/3</f>
        <v>20305.666666666668</v>
      </c>
      <c r="J132" s="7">
        <v>1</v>
      </c>
      <c r="K132" s="21">
        <f t="shared" si="18"/>
        <v>32.089999999999996</v>
      </c>
      <c r="L132" s="20">
        <v>3834.13</v>
      </c>
      <c r="M132" s="12">
        <f t="shared" si="17"/>
        <v>143342.89836666666</v>
      </c>
      <c r="N132" s="13">
        <f t="shared" si="19"/>
        <v>143342.89836666666</v>
      </c>
      <c r="O132" s="10">
        <f t="shared" si="20"/>
        <v>-1</v>
      </c>
      <c r="P132" s="12"/>
      <c r="Q132" s="11">
        <f t="shared" si="21"/>
        <v>-143342.89836666666</v>
      </c>
      <c r="R132" s="7" t="s">
        <v>11</v>
      </c>
      <c r="S132" s="5"/>
      <c r="T132" s="5"/>
      <c r="U132" s="5"/>
      <c r="V132" s="5" t="str">
        <f t="shared" si="15"/>
        <v>NO</v>
      </c>
    </row>
    <row r="133" spans="1:22" s="19" customFormat="1" x14ac:dyDescent="0.25">
      <c r="A133" s="4" t="s">
        <v>277</v>
      </c>
      <c r="B133" s="16">
        <v>44652</v>
      </c>
      <c r="C133" s="7" t="s">
        <v>30</v>
      </c>
      <c r="D133" s="7" t="s">
        <v>27</v>
      </c>
      <c r="E133" s="7"/>
      <c r="F133" s="7"/>
      <c r="G133" s="7"/>
      <c r="H133" s="7"/>
      <c r="I133" s="15"/>
      <c r="J133" s="7"/>
      <c r="K133" s="14"/>
      <c r="L133" s="20"/>
      <c r="M133" s="12">
        <v>144000</v>
      </c>
      <c r="N133" s="13">
        <f t="shared" si="19"/>
        <v>144000</v>
      </c>
      <c r="O133" s="10">
        <f t="shared" si="20"/>
        <v>0.18055555555555555</v>
      </c>
      <c r="P133" s="12">
        <v>170000</v>
      </c>
      <c r="Q133" s="11">
        <f t="shared" si="21"/>
        <v>26000</v>
      </c>
      <c r="R133" s="7" t="s">
        <v>11</v>
      </c>
      <c r="S133" s="5" t="s">
        <v>46</v>
      </c>
      <c r="T133" s="5" t="s">
        <v>43</v>
      </c>
      <c r="U133" s="5">
        <v>2022</v>
      </c>
      <c r="V133" s="5" t="str">
        <f t="shared" si="15"/>
        <v>NO</v>
      </c>
    </row>
    <row r="134" spans="1:22" s="19" customFormat="1" x14ac:dyDescent="0.25">
      <c r="A134" s="4" t="s">
        <v>277</v>
      </c>
      <c r="B134" s="16">
        <v>44652</v>
      </c>
      <c r="C134" s="7" t="s">
        <v>30</v>
      </c>
      <c r="D134" s="7" t="s">
        <v>27</v>
      </c>
      <c r="E134" s="7"/>
      <c r="F134" s="7"/>
      <c r="G134" s="7"/>
      <c r="H134" s="7"/>
      <c r="I134" s="15"/>
      <c r="J134" s="7"/>
      <c r="K134" s="14"/>
      <c r="L134" s="20"/>
      <c r="M134" s="12">
        <v>160000</v>
      </c>
      <c r="N134" s="13">
        <f t="shared" si="19"/>
        <v>160000</v>
      </c>
      <c r="O134" s="10">
        <f t="shared" si="20"/>
        <v>0</v>
      </c>
      <c r="P134" s="12">
        <v>160000</v>
      </c>
      <c r="Q134" s="11">
        <f t="shared" si="21"/>
        <v>0</v>
      </c>
      <c r="R134" s="7" t="s">
        <v>11</v>
      </c>
      <c r="S134" s="5" t="s">
        <v>45</v>
      </c>
      <c r="T134" s="5" t="s">
        <v>43</v>
      </c>
      <c r="U134" s="5">
        <v>2022</v>
      </c>
      <c r="V134" s="5" t="str">
        <f t="shared" si="15"/>
        <v>NO</v>
      </c>
    </row>
    <row r="135" spans="1:22" s="19" customFormat="1" x14ac:dyDescent="0.25">
      <c r="A135" s="4" t="s">
        <v>277</v>
      </c>
      <c r="B135" s="16">
        <v>44652</v>
      </c>
      <c r="C135" s="7" t="s">
        <v>30</v>
      </c>
      <c r="D135" s="7" t="s">
        <v>27</v>
      </c>
      <c r="E135" s="7"/>
      <c r="F135" s="7"/>
      <c r="G135" s="7"/>
      <c r="H135" s="7"/>
      <c r="I135" s="15"/>
      <c r="J135" s="7"/>
      <c r="K135" s="14"/>
      <c r="L135" s="20"/>
      <c r="M135" s="12">
        <v>280000</v>
      </c>
      <c r="N135" s="13">
        <f t="shared" si="19"/>
        <v>280000</v>
      </c>
      <c r="O135" s="10">
        <f t="shared" si="20"/>
        <v>0.2857142857142857</v>
      </c>
      <c r="P135" s="12">
        <v>360000</v>
      </c>
      <c r="Q135" s="11">
        <f t="shared" si="21"/>
        <v>80000</v>
      </c>
      <c r="R135" s="7" t="s">
        <v>11</v>
      </c>
      <c r="S135" s="5" t="s">
        <v>44</v>
      </c>
      <c r="T135" s="5" t="s">
        <v>43</v>
      </c>
      <c r="U135" s="5">
        <v>2022</v>
      </c>
      <c r="V135" s="5" t="str">
        <f t="shared" si="15"/>
        <v>NO</v>
      </c>
    </row>
    <row r="136" spans="1:22" s="19" customFormat="1" x14ac:dyDescent="0.25">
      <c r="A136" s="4" t="s">
        <v>275</v>
      </c>
      <c r="B136" s="16">
        <v>44621</v>
      </c>
      <c r="C136" s="7" t="s">
        <v>14</v>
      </c>
      <c r="D136" s="7" t="s">
        <v>27</v>
      </c>
      <c r="E136" s="7"/>
      <c r="F136" s="7"/>
      <c r="G136" s="7"/>
      <c r="H136" s="7"/>
      <c r="I136" s="15"/>
      <c r="J136" s="7"/>
      <c r="K136" s="14"/>
      <c r="L136" s="7"/>
      <c r="M136" s="12">
        <v>160000</v>
      </c>
      <c r="N136" s="13">
        <f t="shared" si="19"/>
        <v>160000</v>
      </c>
      <c r="O136" s="10">
        <f t="shared" si="20"/>
        <v>0.1875</v>
      </c>
      <c r="P136" s="12">
        <v>190000</v>
      </c>
      <c r="Q136" s="11">
        <f t="shared" si="21"/>
        <v>30000</v>
      </c>
      <c r="R136" s="7" t="s">
        <v>11</v>
      </c>
      <c r="S136" s="5" t="s">
        <v>42</v>
      </c>
      <c r="T136" s="5" t="s">
        <v>38</v>
      </c>
      <c r="U136" s="5">
        <v>2022</v>
      </c>
      <c r="V136" s="5" t="str">
        <f t="shared" si="15"/>
        <v>NO</v>
      </c>
    </row>
    <row r="137" spans="1:22" s="19" customFormat="1" x14ac:dyDescent="0.25">
      <c r="A137" s="4" t="s">
        <v>275</v>
      </c>
      <c r="B137" s="16">
        <v>44621</v>
      </c>
      <c r="C137" s="7" t="s">
        <v>14</v>
      </c>
      <c r="D137" s="7" t="s">
        <v>27</v>
      </c>
      <c r="E137" s="7"/>
      <c r="F137" s="7"/>
      <c r="G137" s="7"/>
      <c r="H137" s="7"/>
      <c r="I137" s="15"/>
      <c r="J137" s="7"/>
      <c r="K137" s="14"/>
      <c r="L137" s="7"/>
      <c r="M137" s="12">
        <v>169000</v>
      </c>
      <c r="N137" s="13">
        <f t="shared" si="19"/>
        <v>169000</v>
      </c>
      <c r="O137" s="10">
        <f t="shared" si="20"/>
        <v>5.9171597633136093E-3</v>
      </c>
      <c r="P137" s="12">
        <v>170000</v>
      </c>
      <c r="Q137" s="11">
        <f t="shared" si="21"/>
        <v>1000</v>
      </c>
      <c r="R137" s="7" t="s">
        <v>11</v>
      </c>
      <c r="S137" s="5" t="s">
        <v>41</v>
      </c>
      <c r="T137" s="5" t="s">
        <v>38</v>
      </c>
      <c r="U137" s="5">
        <v>2022</v>
      </c>
      <c r="V137" s="5" t="str">
        <f t="shared" si="15"/>
        <v>NO</v>
      </c>
    </row>
    <row r="138" spans="1:22" s="19" customFormat="1" x14ac:dyDescent="0.25">
      <c r="A138" s="4" t="s">
        <v>275</v>
      </c>
      <c r="B138" s="16">
        <v>44621</v>
      </c>
      <c r="C138" s="7" t="s">
        <v>14</v>
      </c>
      <c r="D138" s="7" t="s">
        <v>27</v>
      </c>
      <c r="E138" s="7"/>
      <c r="F138" s="7"/>
      <c r="G138" s="7"/>
      <c r="H138" s="7"/>
      <c r="I138" s="15"/>
      <c r="J138" s="7"/>
      <c r="K138" s="14"/>
      <c r="L138" s="7"/>
      <c r="M138" s="12">
        <v>160000</v>
      </c>
      <c r="N138" s="13">
        <f t="shared" si="19"/>
        <v>160000</v>
      </c>
      <c r="O138" s="10">
        <f t="shared" si="20"/>
        <v>0.1875</v>
      </c>
      <c r="P138" s="12">
        <v>190000</v>
      </c>
      <c r="Q138" s="11">
        <f t="shared" si="21"/>
        <v>30000</v>
      </c>
      <c r="R138" s="7" t="s">
        <v>11</v>
      </c>
      <c r="S138" s="5" t="s">
        <v>40</v>
      </c>
      <c r="T138" s="5" t="s">
        <v>38</v>
      </c>
      <c r="U138" s="5">
        <v>2022</v>
      </c>
      <c r="V138" s="5" t="str">
        <f t="shared" si="15"/>
        <v>NO</v>
      </c>
    </row>
    <row r="139" spans="1:22" s="19" customFormat="1" x14ac:dyDescent="0.25">
      <c r="A139" s="4" t="s">
        <v>275</v>
      </c>
      <c r="B139" s="16">
        <v>44621</v>
      </c>
      <c r="C139" s="7" t="s">
        <v>14</v>
      </c>
      <c r="D139" s="7" t="s">
        <v>27</v>
      </c>
      <c r="E139" s="7"/>
      <c r="F139" s="7"/>
      <c r="G139" s="7"/>
      <c r="H139" s="7"/>
      <c r="I139" s="15"/>
      <c r="J139" s="7"/>
      <c r="K139" s="14"/>
      <c r="L139" s="7"/>
      <c r="M139" s="12">
        <v>160000</v>
      </c>
      <c r="N139" s="13">
        <f t="shared" si="19"/>
        <v>160000</v>
      </c>
      <c r="O139" s="10">
        <f t="shared" si="20"/>
        <v>0.125</v>
      </c>
      <c r="P139" s="12">
        <v>180000</v>
      </c>
      <c r="Q139" s="11">
        <f t="shared" si="21"/>
        <v>20000</v>
      </c>
      <c r="R139" s="7" t="s">
        <v>11</v>
      </c>
      <c r="S139" s="5" t="s">
        <v>39</v>
      </c>
      <c r="T139" s="5" t="s">
        <v>38</v>
      </c>
      <c r="U139" s="5">
        <v>2022</v>
      </c>
      <c r="V139" s="5" t="str">
        <f t="shared" si="15"/>
        <v>NO</v>
      </c>
    </row>
    <row r="140" spans="1:22" s="19" customFormat="1" x14ac:dyDescent="0.25">
      <c r="A140" s="4" t="s">
        <v>278</v>
      </c>
      <c r="B140" s="16">
        <v>44593</v>
      </c>
      <c r="C140" s="7" t="s">
        <v>32</v>
      </c>
      <c r="D140" s="7" t="s">
        <v>27</v>
      </c>
      <c r="E140" s="7"/>
      <c r="F140" s="7"/>
      <c r="G140" s="7"/>
      <c r="H140" s="7"/>
      <c r="I140" s="18"/>
      <c r="J140" s="7"/>
      <c r="K140" s="15"/>
      <c r="L140" s="7"/>
      <c r="M140" s="12">
        <v>135000</v>
      </c>
      <c r="N140" s="13">
        <f t="shared" si="19"/>
        <v>135000</v>
      </c>
      <c r="O140" s="10">
        <f t="shared" si="20"/>
        <v>0.1111111111111111</v>
      </c>
      <c r="P140" s="12">
        <v>150000</v>
      </c>
      <c r="Q140" s="11">
        <f t="shared" si="21"/>
        <v>15000</v>
      </c>
      <c r="R140" s="7" t="s">
        <v>11</v>
      </c>
      <c r="S140" s="5" t="s">
        <v>37</v>
      </c>
      <c r="T140" s="5" t="s">
        <v>15</v>
      </c>
      <c r="U140" s="5">
        <v>2022</v>
      </c>
      <c r="V140" s="5" t="str">
        <f t="shared" si="15"/>
        <v>NO</v>
      </c>
    </row>
    <row r="141" spans="1:22" s="19" customFormat="1" x14ac:dyDescent="0.25">
      <c r="A141" s="4" t="s">
        <v>277</v>
      </c>
      <c r="B141" s="16">
        <v>44593</v>
      </c>
      <c r="C141" s="7" t="s">
        <v>30</v>
      </c>
      <c r="D141" s="7" t="s">
        <v>27</v>
      </c>
      <c r="E141" s="7"/>
      <c r="F141" s="7"/>
      <c r="G141" s="7"/>
      <c r="H141" s="7"/>
      <c r="I141" s="18"/>
      <c r="J141" s="7"/>
      <c r="K141" s="15"/>
      <c r="L141" s="7"/>
      <c r="M141" s="12">
        <v>144000</v>
      </c>
      <c r="N141" s="13">
        <f t="shared" si="19"/>
        <v>144000</v>
      </c>
      <c r="O141" s="10">
        <f t="shared" si="20"/>
        <v>0.1111111111111111</v>
      </c>
      <c r="P141" s="12">
        <v>160000</v>
      </c>
      <c r="Q141" s="11">
        <f t="shared" si="21"/>
        <v>16000</v>
      </c>
      <c r="R141" s="7" t="s">
        <v>11</v>
      </c>
      <c r="S141" s="5" t="s">
        <v>36</v>
      </c>
      <c r="T141" s="5" t="s">
        <v>15</v>
      </c>
      <c r="U141" s="5">
        <v>2022</v>
      </c>
      <c r="V141" s="5" t="str">
        <f t="shared" si="15"/>
        <v>NO</v>
      </c>
    </row>
    <row r="142" spans="1:22" s="19" customFormat="1" x14ac:dyDescent="0.25">
      <c r="A142" s="4" t="s">
        <v>275</v>
      </c>
      <c r="B142" s="16">
        <v>44593</v>
      </c>
      <c r="C142" s="7" t="s">
        <v>14</v>
      </c>
      <c r="D142" s="7" t="s">
        <v>27</v>
      </c>
      <c r="E142" s="7"/>
      <c r="F142" s="7"/>
      <c r="G142" s="7"/>
      <c r="H142" s="7"/>
      <c r="I142" s="18"/>
      <c r="J142" s="7"/>
      <c r="K142" s="15"/>
      <c r="L142" s="7"/>
      <c r="M142" s="12">
        <v>160000</v>
      </c>
      <c r="N142" s="13">
        <f t="shared" si="19"/>
        <v>160000</v>
      </c>
      <c r="O142" s="10">
        <f t="shared" si="20"/>
        <v>0.1875</v>
      </c>
      <c r="P142" s="12">
        <v>190000</v>
      </c>
      <c r="Q142" s="11">
        <f t="shared" si="21"/>
        <v>30000</v>
      </c>
      <c r="R142" s="7" t="s">
        <v>11</v>
      </c>
      <c r="S142" s="5" t="s">
        <v>35</v>
      </c>
      <c r="T142" s="5" t="s">
        <v>15</v>
      </c>
      <c r="U142" s="5">
        <v>2022</v>
      </c>
      <c r="V142" s="5" t="str">
        <f t="shared" si="15"/>
        <v>NO</v>
      </c>
    </row>
    <row r="143" spans="1:22" s="19" customFormat="1" x14ac:dyDescent="0.25">
      <c r="A143" s="4" t="s">
        <v>275</v>
      </c>
      <c r="B143" s="16">
        <v>44593</v>
      </c>
      <c r="C143" s="7" t="s">
        <v>14</v>
      </c>
      <c r="D143" s="7" t="s">
        <v>27</v>
      </c>
      <c r="E143" s="7"/>
      <c r="F143" s="7"/>
      <c r="G143" s="7"/>
      <c r="H143" s="7"/>
      <c r="I143" s="18"/>
      <c r="J143" s="7"/>
      <c r="K143" s="15"/>
      <c r="L143" s="7"/>
      <c r="M143" s="12">
        <v>160000</v>
      </c>
      <c r="N143" s="13">
        <f t="shared" si="19"/>
        <v>160000</v>
      </c>
      <c r="O143" s="10">
        <f t="shared" si="20"/>
        <v>0.125</v>
      </c>
      <c r="P143" s="12">
        <v>180000</v>
      </c>
      <c r="Q143" s="11">
        <f t="shared" si="21"/>
        <v>20000</v>
      </c>
      <c r="R143" s="7" t="s">
        <v>11</v>
      </c>
      <c r="S143" s="5" t="s">
        <v>34</v>
      </c>
      <c r="T143" s="5" t="s">
        <v>15</v>
      </c>
      <c r="U143" s="5">
        <v>2022</v>
      </c>
      <c r="V143" s="5" t="str">
        <f t="shared" si="15"/>
        <v>NO</v>
      </c>
    </row>
    <row r="144" spans="1:22" s="19" customFormat="1" x14ac:dyDescent="0.25">
      <c r="A144" s="4" t="s">
        <v>277</v>
      </c>
      <c r="B144" s="16">
        <v>44593</v>
      </c>
      <c r="C144" s="7" t="s">
        <v>30</v>
      </c>
      <c r="D144" s="7" t="s">
        <v>27</v>
      </c>
      <c r="E144" s="7"/>
      <c r="F144" s="7"/>
      <c r="G144" s="7"/>
      <c r="H144" s="7"/>
      <c r="I144" s="18"/>
      <c r="J144" s="7"/>
      <c r="K144" s="15"/>
      <c r="L144" s="7"/>
      <c r="M144" s="12">
        <v>144000</v>
      </c>
      <c r="N144" s="13">
        <f t="shared" si="19"/>
        <v>144000</v>
      </c>
      <c r="O144" s="10">
        <f t="shared" si="20"/>
        <v>0.1111111111111111</v>
      </c>
      <c r="P144" s="12">
        <v>160000</v>
      </c>
      <c r="Q144" s="11">
        <f t="shared" si="21"/>
        <v>16000</v>
      </c>
      <c r="R144" s="7" t="s">
        <v>11</v>
      </c>
      <c r="S144" s="5" t="s">
        <v>33</v>
      </c>
      <c r="T144" s="5" t="s">
        <v>15</v>
      </c>
      <c r="U144" s="5">
        <v>2022</v>
      </c>
      <c r="V144" s="5" t="str">
        <f t="shared" si="15"/>
        <v>NO</v>
      </c>
    </row>
    <row r="145" spans="1:22" s="9" customFormat="1" x14ac:dyDescent="0.25">
      <c r="A145" s="4" t="s">
        <v>278</v>
      </c>
      <c r="B145" s="16">
        <v>44562</v>
      </c>
      <c r="C145" s="7" t="s">
        <v>32</v>
      </c>
      <c r="D145" s="7" t="s">
        <v>27</v>
      </c>
      <c r="E145" s="7"/>
      <c r="F145" s="7"/>
      <c r="G145" s="7"/>
      <c r="H145" s="7"/>
      <c r="I145" s="18"/>
      <c r="J145" s="7">
        <v>1</v>
      </c>
      <c r="K145" s="14"/>
      <c r="L145" s="7"/>
      <c r="M145" s="12">
        <v>130000</v>
      </c>
      <c r="N145" s="13">
        <f>M145</f>
        <v>130000</v>
      </c>
      <c r="O145" s="10">
        <f t="shared" si="20"/>
        <v>0.15384615384615385</v>
      </c>
      <c r="P145" s="12">
        <v>150000</v>
      </c>
      <c r="Q145" s="11">
        <f t="shared" si="21"/>
        <v>20000</v>
      </c>
      <c r="R145" s="7" t="s">
        <v>11</v>
      </c>
      <c r="S145" s="5" t="s">
        <v>31</v>
      </c>
      <c r="T145" s="5" t="s">
        <v>19</v>
      </c>
      <c r="U145" s="5">
        <v>2022</v>
      </c>
      <c r="V145" s="5" t="str">
        <f t="shared" si="15"/>
        <v>NO</v>
      </c>
    </row>
    <row r="146" spans="1:22" s="9" customFormat="1" x14ac:dyDescent="0.25">
      <c r="A146" s="4" t="s">
        <v>277</v>
      </c>
      <c r="B146" s="16">
        <v>44562</v>
      </c>
      <c r="C146" s="7" t="s">
        <v>30</v>
      </c>
      <c r="D146" s="7" t="s">
        <v>27</v>
      </c>
      <c r="E146" s="7"/>
      <c r="F146" s="7"/>
      <c r="G146" s="7"/>
      <c r="H146" s="7"/>
      <c r="I146" s="18"/>
      <c r="J146" s="7">
        <v>1</v>
      </c>
      <c r="K146" s="14"/>
      <c r="L146" s="7"/>
      <c r="M146" s="12">
        <v>170000</v>
      </c>
      <c r="N146" s="13">
        <f>M146</f>
        <v>170000</v>
      </c>
      <c r="O146" s="10">
        <f t="shared" si="20"/>
        <v>-0.11764705882352941</v>
      </c>
      <c r="P146" s="12">
        <v>150000</v>
      </c>
      <c r="Q146" s="11">
        <f t="shared" si="21"/>
        <v>-20000</v>
      </c>
      <c r="R146" s="7" t="s">
        <v>11</v>
      </c>
      <c r="S146" s="5" t="s">
        <v>29</v>
      </c>
      <c r="T146" s="5" t="s">
        <v>19</v>
      </c>
      <c r="U146" s="5">
        <v>2022</v>
      </c>
      <c r="V146" s="5" t="str">
        <f t="shared" si="15"/>
        <v>NO</v>
      </c>
    </row>
    <row r="147" spans="1:22" s="9" customFormat="1" x14ac:dyDescent="0.25">
      <c r="A147" s="4" t="s">
        <v>275</v>
      </c>
      <c r="B147" s="16">
        <v>44562</v>
      </c>
      <c r="C147" s="7" t="s">
        <v>14</v>
      </c>
      <c r="D147" s="7" t="s">
        <v>27</v>
      </c>
      <c r="E147" s="7"/>
      <c r="F147" s="7"/>
      <c r="G147" s="7"/>
      <c r="H147" s="7"/>
      <c r="I147" s="18"/>
      <c r="J147" s="7">
        <v>1</v>
      </c>
      <c r="K147" s="14"/>
      <c r="L147" s="7"/>
      <c r="M147" s="12">
        <v>180000</v>
      </c>
      <c r="N147" s="13">
        <f>M147</f>
        <v>180000</v>
      </c>
      <c r="O147" s="10">
        <f t="shared" si="20"/>
        <v>5.5555555555555552E-2</v>
      </c>
      <c r="P147" s="12">
        <v>190000</v>
      </c>
      <c r="Q147" s="11">
        <f t="shared" si="21"/>
        <v>10000</v>
      </c>
      <c r="R147" s="7" t="s">
        <v>11</v>
      </c>
      <c r="S147" s="5" t="s">
        <v>28</v>
      </c>
      <c r="T147" s="5" t="s">
        <v>19</v>
      </c>
      <c r="U147" s="5">
        <v>2022</v>
      </c>
      <c r="V147" s="5" t="str">
        <f t="shared" si="15"/>
        <v>NO</v>
      </c>
    </row>
    <row r="148" spans="1:22" s="9" customFormat="1" x14ac:dyDescent="0.25">
      <c r="A148" s="4" t="s">
        <v>275</v>
      </c>
      <c r="B148" s="16">
        <v>44562</v>
      </c>
      <c r="C148" s="7" t="s">
        <v>14</v>
      </c>
      <c r="D148" s="7" t="s">
        <v>27</v>
      </c>
      <c r="E148" s="7"/>
      <c r="F148" s="7"/>
      <c r="G148" s="7"/>
      <c r="H148" s="7"/>
      <c r="I148" s="18"/>
      <c r="J148" s="7">
        <v>1</v>
      </c>
      <c r="K148" s="14"/>
      <c r="L148" s="7"/>
      <c r="M148" s="12">
        <v>180000</v>
      </c>
      <c r="N148" s="13">
        <f>M148</f>
        <v>180000</v>
      </c>
      <c r="O148" s="10">
        <f t="shared" si="20"/>
        <v>5.5555555555555552E-2</v>
      </c>
      <c r="P148" s="12">
        <v>190000</v>
      </c>
      <c r="Q148" s="11">
        <f t="shared" si="21"/>
        <v>10000</v>
      </c>
      <c r="R148" s="7" t="s">
        <v>11</v>
      </c>
      <c r="S148" s="5" t="s">
        <v>26</v>
      </c>
      <c r="T148" s="5" t="s">
        <v>19</v>
      </c>
      <c r="U148" s="5">
        <v>2022</v>
      </c>
      <c r="V148" s="5" t="str">
        <f t="shared" si="15"/>
        <v>NO</v>
      </c>
    </row>
    <row r="149" spans="1:22" s="9" customFormat="1" x14ac:dyDescent="0.25">
      <c r="A149" s="4" t="s">
        <v>275</v>
      </c>
      <c r="B149" s="16">
        <v>44552</v>
      </c>
      <c r="C149" s="7" t="s">
        <v>18</v>
      </c>
      <c r="D149" s="7" t="s">
        <v>13</v>
      </c>
      <c r="E149" s="7" t="s">
        <v>25</v>
      </c>
      <c r="F149" s="7">
        <v>21.99</v>
      </c>
      <c r="G149" s="17">
        <f>11.71/4</f>
        <v>2.9275000000000002</v>
      </c>
      <c r="H149" s="7">
        <f>8.84/4</f>
        <v>2.21</v>
      </c>
      <c r="I149" s="15">
        <v>0</v>
      </c>
      <c r="J149" s="7">
        <v>1</v>
      </c>
      <c r="K149" s="14">
        <v>27.909181886414807</v>
      </c>
      <c r="L149" s="7">
        <v>3997</v>
      </c>
      <c r="M149" s="12">
        <f>(L149*K149)+I149</f>
        <v>111552.99999999999</v>
      </c>
      <c r="N149" s="13">
        <v>111552.99999999999</v>
      </c>
      <c r="O149" s="10">
        <f t="shared" si="20"/>
        <v>0.52393929343002899</v>
      </c>
      <c r="P149" s="12">
        <v>170000</v>
      </c>
      <c r="Q149" s="11">
        <f t="shared" si="21"/>
        <v>58447.000000000015</v>
      </c>
      <c r="R149" s="7" t="s">
        <v>11</v>
      </c>
      <c r="S149" s="5" t="s">
        <v>24</v>
      </c>
      <c r="T149" s="5" t="s">
        <v>19</v>
      </c>
      <c r="U149" s="5">
        <v>2022</v>
      </c>
      <c r="V149" s="5" t="str">
        <f t="shared" si="15"/>
        <v>NO</v>
      </c>
    </row>
    <row r="150" spans="1:22" s="9" customFormat="1" x14ac:dyDescent="0.25">
      <c r="A150" s="4" t="s">
        <v>275</v>
      </c>
      <c r="B150" s="16">
        <v>44552</v>
      </c>
      <c r="C150" s="7" t="s">
        <v>18</v>
      </c>
      <c r="D150" s="7" t="s">
        <v>13</v>
      </c>
      <c r="E150" s="7" t="s">
        <v>23</v>
      </c>
      <c r="F150" s="7">
        <v>21.99</v>
      </c>
      <c r="G150" s="17">
        <f>11.71/4</f>
        <v>2.9275000000000002</v>
      </c>
      <c r="H150" s="7">
        <f>8.84/4</f>
        <v>2.21</v>
      </c>
      <c r="I150" s="15">
        <v>0</v>
      </c>
      <c r="J150" s="7">
        <v>1</v>
      </c>
      <c r="K150" s="14">
        <v>27.127499999999998</v>
      </c>
      <c r="L150" s="7">
        <v>3997</v>
      </c>
      <c r="M150" s="12">
        <f>(L150*K150)+I150</f>
        <v>108428.61749999999</v>
      </c>
      <c r="N150" s="13">
        <v>111552.99999999999</v>
      </c>
      <c r="O150" s="10">
        <f t="shared" si="20"/>
        <v>0.34465231773237853</v>
      </c>
      <c r="P150" s="12">
        <v>150000</v>
      </c>
      <c r="Q150" s="11">
        <f t="shared" si="21"/>
        <v>38447.000000000015</v>
      </c>
      <c r="R150" s="7" t="s">
        <v>11</v>
      </c>
      <c r="S150" s="5" t="s">
        <v>22</v>
      </c>
      <c r="T150" s="5" t="s">
        <v>19</v>
      </c>
      <c r="U150" s="5">
        <v>2022</v>
      </c>
      <c r="V150" s="5" t="str">
        <f t="shared" si="15"/>
        <v>NO</v>
      </c>
    </row>
    <row r="151" spans="1:22" s="9" customFormat="1" x14ac:dyDescent="0.25">
      <c r="A151" s="4" t="s">
        <v>275</v>
      </c>
      <c r="B151" s="16">
        <v>44552</v>
      </c>
      <c r="C151" s="7" t="s">
        <v>18</v>
      </c>
      <c r="D151" s="7" t="s">
        <v>13</v>
      </c>
      <c r="E151" s="7" t="s">
        <v>21</v>
      </c>
      <c r="F151" s="7">
        <v>21.99</v>
      </c>
      <c r="G151" s="17">
        <f>11.71/4</f>
        <v>2.9275000000000002</v>
      </c>
      <c r="H151" s="7">
        <f>8.84/4</f>
        <v>2.21</v>
      </c>
      <c r="I151" s="15">
        <v>0</v>
      </c>
      <c r="J151" s="7">
        <v>1</v>
      </c>
      <c r="K151" s="14">
        <v>27.127499999999998</v>
      </c>
      <c r="L151" s="7">
        <v>3997</v>
      </c>
      <c r="M151" s="12">
        <f>(L151*K151)+I151</f>
        <v>108428.61749999999</v>
      </c>
      <c r="N151" s="13">
        <v>111552.99999999999</v>
      </c>
      <c r="O151" s="10">
        <f t="shared" si="20"/>
        <v>0.70322626912767949</v>
      </c>
      <c r="P151" s="12">
        <v>190000</v>
      </c>
      <c r="Q151" s="11">
        <f t="shared" si="21"/>
        <v>78447.000000000015</v>
      </c>
      <c r="R151" s="7" t="s">
        <v>11</v>
      </c>
      <c r="S151" s="5" t="s">
        <v>20</v>
      </c>
      <c r="T151" s="5" t="s">
        <v>19</v>
      </c>
      <c r="U151" s="5">
        <v>2022</v>
      </c>
      <c r="V151" s="5" t="str">
        <f t="shared" si="15"/>
        <v>NO</v>
      </c>
    </row>
    <row r="152" spans="1:22" s="9" customFormat="1" x14ac:dyDescent="0.25">
      <c r="A152" s="4" t="s">
        <v>275</v>
      </c>
      <c r="B152" s="16">
        <v>44552</v>
      </c>
      <c r="C152" s="7" t="s">
        <v>18</v>
      </c>
      <c r="D152" s="7" t="s">
        <v>13</v>
      </c>
      <c r="E152" s="7" t="s">
        <v>17</v>
      </c>
      <c r="F152" s="7">
        <v>21.99</v>
      </c>
      <c r="G152" s="17">
        <f>11.71/4</f>
        <v>2.9275000000000002</v>
      </c>
      <c r="H152" s="7">
        <f>8.84/4</f>
        <v>2.21</v>
      </c>
      <c r="I152" s="15">
        <v>0</v>
      </c>
      <c r="J152" s="7">
        <v>1</v>
      </c>
      <c r="K152" s="14">
        <v>27.127499999999998</v>
      </c>
      <c r="L152" s="7">
        <v>3997</v>
      </c>
      <c r="M152" s="12">
        <f>(L152*K152)+I152</f>
        <v>108428.61749999999</v>
      </c>
      <c r="N152" s="13">
        <v>111552.99999999999</v>
      </c>
      <c r="O152" s="10">
        <f t="shared" si="20"/>
        <v>0.34465231773237853</v>
      </c>
      <c r="P152" s="12">
        <v>150000</v>
      </c>
      <c r="Q152" s="11">
        <f t="shared" si="21"/>
        <v>38447.000000000015</v>
      </c>
      <c r="R152" s="7" t="s">
        <v>11</v>
      </c>
      <c r="S152" s="5" t="s">
        <v>16</v>
      </c>
      <c r="T152" s="5" t="s">
        <v>15</v>
      </c>
      <c r="U152" s="5">
        <v>2022</v>
      </c>
      <c r="V152" s="5" t="str">
        <f t="shared" si="15"/>
        <v>NO</v>
      </c>
    </row>
    <row r="153" spans="1:22" x14ac:dyDescent="0.25">
      <c r="A153" s="4" t="s">
        <v>278</v>
      </c>
      <c r="B153" s="16">
        <v>44883</v>
      </c>
      <c r="C153" s="7" t="s">
        <v>14</v>
      </c>
      <c r="D153" s="7" t="s">
        <v>13</v>
      </c>
      <c r="E153" s="7" t="s">
        <v>12</v>
      </c>
      <c r="F153" s="5">
        <v>24.99</v>
      </c>
      <c r="G153" s="7">
        <v>0</v>
      </c>
      <c r="H153" s="7">
        <f>5.25/3</f>
        <v>1.75</v>
      </c>
      <c r="I153" s="15">
        <v>24926</v>
      </c>
      <c r="J153" s="7">
        <v>1</v>
      </c>
      <c r="K153" s="14">
        <f>SUBTOTAL(9,F153:H153)</f>
        <v>26.74</v>
      </c>
      <c r="L153" s="7">
        <v>5104.2</v>
      </c>
      <c r="M153" s="12">
        <f>(L153*K153)+I153</f>
        <v>161412.30799999999</v>
      </c>
      <c r="N153" s="13">
        <f>SUM(M153:M153)</f>
        <v>161412.30799999999</v>
      </c>
      <c r="O153" s="10">
        <f t="shared" si="20"/>
        <v>-1</v>
      </c>
      <c r="P153" s="12"/>
      <c r="Q153" s="11"/>
      <c r="R153" s="7" t="s">
        <v>11</v>
      </c>
      <c r="S153" s="7"/>
      <c r="T153" s="7"/>
      <c r="U153" s="7"/>
      <c r="V153" s="7"/>
    </row>
  </sheetData>
  <conditionalFormatting sqref="A8:A12 A26:A28 A35:A38 A42:A44 A51:A58 A61:A62">
    <cfRule type="expression" dxfId="116" priority="1">
      <formula>$R8:$R99="Vendido"</formula>
    </cfRule>
    <cfRule type="expression" dxfId="115" priority="2">
      <formula>$R8:$R99="Casillero"</formula>
    </cfRule>
    <cfRule type="expression" dxfId="114" priority="3">
      <formula>$R8:$R99="En Bodega"</formula>
    </cfRule>
  </conditionalFormatting>
  <conditionalFormatting sqref="A59:A60">
    <cfRule type="expression" dxfId="113" priority="123">
      <formula>$R59:$R153="En Bodega"</formula>
    </cfRule>
    <cfRule type="expression" dxfId="112" priority="122">
      <formula>$R59:$R153="Casillero"</formula>
    </cfRule>
    <cfRule type="expression" dxfId="111" priority="84">
      <formula>$R59:$R153="Vendido"</formula>
    </cfRule>
  </conditionalFormatting>
  <conditionalFormatting sqref="A63">
    <cfRule type="expression" dxfId="110" priority="85">
      <formula>$R63:$R153="Vendido"</formula>
    </cfRule>
    <cfRule type="expression" dxfId="109" priority="125">
      <formula>$R63:$R153="En Bodega"</formula>
    </cfRule>
    <cfRule type="expression" dxfId="108" priority="124">
      <formula>$R63:$R153="Casillero"</formula>
    </cfRule>
  </conditionalFormatting>
  <conditionalFormatting sqref="A64">
    <cfRule type="expression" dxfId="107" priority="40">
      <formula>$R64:$R153="Vendido"</formula>
    </cfRule>
    <cfRule type="expression" dxfId="106" priority="41">
      <formula>$R64:$R153="Casillero"</formula>
    </cfRule>
    <cfRule type="expression" dxfId="105" priority="42">
      <formula>$R64:$R153="En Bodega"</formula>
    </cfRule>
  </conditionalFormatting>
  <conditionalFormatting sqref="A65:A72">
    <cfRule type="expression" dxfId="104" priority="86">
      <formula>$R65:$R153="Vendido"</formula>
    </cfRule>
    <cfRule type="expression" dxfId="103" priority="127">
      <formula>$R65:$R153="En Bodega"</formula>
    </cfRule>
    <cfRule type="expression" dxfId="102" priority="126">
      <formula>$R65:$R153="Casillero"</formula>
    </cfRule>
  </conditionalFormatting>
  <conditionalFormatting sqref="A73:A76">
    <cfRule type="expression" dxfId="101" priority="43">
      <formula>$R73:$R153="Vendido"</formula>
    </cfRule>
    <cfRule type="expression" dxfId="100" priority="44">
      <formula>$R73:$R153="Casillero"</formula>
    </cfRule>
    <cfRule type="expression" dxfId="99" priority="45">
      <formula>$R73:$R153="En Bodega"</formula>
    </cfRule>
  </conditionalFormatting>
  <conditionalFormatting sqref="A77:A82">
    <cfRule type="expression" dxfId="98" priority="87">
      <formula>$R77:$R153="Vendido"</formula>
    </cfRule>
    <cfRule type="expression" dxfId="97" priority="129">
      <formula>$R77:$R153="En Bodega"</formula>
    </cfRule>
    <cfRule type="expression" dxfId="96" priority="128">
      <formula>$R77:$R153="Casillero"</formula>
    </cfRule>
  </conditionalFormatting>
  <conditionalFormatting sqref="A83:A88">
    <cfRule type="expression" dxfId="95" priority="46">
      <formula>$R83:$R153="Vendido"</formula>
    </cfRule>
    <cfRule type="expression" dxfId="94" priority="48">
      <formula>$R83:$R153="En Bodega"</formula>
    </cfRule>
    <cfRule type="expression" dxfId="93" priority="47">
      <formula>$R83:$R153="Casillero"</formula>
    </cfRule>
  </conditionalFormatting>
  <conditionalFormatting sqref="A89:A91">
    <cfRule type="expression" dxfId="92" priority="88">
      <formula>$R89:$R153="Vendido"</formula>
    </cfRule>
    <cfRule type="expression" dxfId="91" priority="131">
      <formula>$R89:$R153="En Bodega"</formula>
    </cfRule>
    <cfRule type="expression" dxfId="90" priority="130">
      <formula>$R89:$R153="Casillero"</formula>
    </cfRule>
  </conditionalFormatting>
  <conditionalFormatting sqref="A92:A94">
    <cfRule type="expression" dxfId="89" priority="49">
      <formula>$R92:$R153="Vendido"</formula>
    </cfRule>
    <cfRule type="expression" dxfId="88" priority="50">
      <formula>$R92:$R153="Casillero"</formula>
    </cfRule>
    <cfRule type="expression" dxfId="87" priority="51">
      <formula>$R92:$R153="En Bodega"</formula>
    </cfRule>
  </conditionalFormatting>
  <conditionalFormatting sqref="A95:A97">
    <cfRule type="expression" dxfId="86" priority="89">
      <formula>$R95:$R153="Vendido"</formula>
    </cfRule>
    <cfRule type="expression" dxfId="85" priority="133">
      <formula>$R95:$R153="En Bodega"</formula>
    </cfRule>
    <cfRule type="expression" dxfId="84" priority="132">
      <formula>$R95:$R153="Casillero"</formula>
    </cfRule>
  </conditionalFormatting>
  <conditionalFormatting sqref="A98:A100">
    <cfRule type="expression" dxfId="83" priority="54">
      <formula>$R98:$R153="En Bodega"</formula>
    </cfRule>
    <cfRule type="expression" dxfId="82" priority="52">
      <formula>$R98:$R153="Vendido"</formula>
    </cfRule>
    <cfRule type="expression" dxfId="81" priority="53">
      <formula>$R98:$R153="Casillero"</formula>
    </cfRule>
  </conditionalFormatting>
  <conditionalFormatting sqref="A101:A106">
    <cfRule type="expression" dxfId="80" priority="135">
      <formula>$R101:$R153="En Bodega"</formula>
    </cfRule>
    <cfRule type="expression" dxfId="79" priority="134">
      <formula>$R101:$R153="Casillero"</formula>
    </cfRule>
    <cfRule type="expression" dxfId="78" priority="90">
      <formula>$R101:$R153="Vendido"</formula>
    </cfRule>
  </conditionalFormatting>
  <conditionalFormatting sqref="A107:A109">
    <cfRule type="expression" dxfId="77" priority="55">
      <formula>$R107:$R153="Vendido"</formula>
    </cfRule>
    <cfRule type="expression" dxfId="76" priority="56">
      <formula>$R107:$R153="Casillero"</formula>
    </cfRule>
    <cfRule type="expression" dxfId="75" priority="57">
      <formula>$R107:$R153="En Bodega"</formula>
    </cfRule>
  </conditionalFormatting>
  <conditionalFormatting sqref="A110:A115">
    <cfRule type="expression" dxfId="74" priority="137">
      <formula>$R110:$R153="En Bodega"</formula>
    </cfRule>
    <cfRule type="expression" dxfId="73" priority="136">
      <formula>$R110:$R153="Casillero"</formula>
    </cfRule>
    <cfRule type="expression" dxfId="72" priority="91">
      <formula>$R110:$R153="Vendido"</formula>
    </cfRule>
  </conditionalFormatting>
  <conditionalFormatting sqref="A116:A123">
    <cfRule type="expression" dxfId="71" priority="59">
      <formula>$R116:$R153="Casillero"</formula>
    </cfRule>
    <cfRule type="expression" dxfId="70" priority="60">
      <formula>$R116:$R153="En Bodega"</formula>
    </cfRule>
    <cfRule type="expression" dxfId="69" priority="58">
      <formula>$R116:$R153="Vendido"</formula>
    </cfRule>
  </conditionalFormatting>
  <conditionalFormatting sqref="A124:A126">
    <cfRule type="expression" dxfId="68" priority="139">
      <formula>$R124:$R153="En Bodega"</formula>
    </cfRule>
    <cfRule type="expression" dxfId="67" priority="138">
      <formula>$R124:$R153="Casillero"</formula>
    </cfRule>
    <cfRule type="expression" dxfId="66" priority="92">
      <formula>$R124:$R153="Vendido"</formula>
    </cfRule>
  </conditionalFormatting>
  <conditionalFormatting sqref="A127:A132">
    <cfRule type="expression" dxfId="65" priority="61">
      <formula>$R127:$R153="Vendido"</formula>
    </cfRule>
    <cfRule type="expression" dxfId="64" priority="62">
      <formula>$R127:$R153="Casillero"</formula>
    </cfRule>
    <cfRule type="expression" dxfId="63" priority="63">
      <formula>$R127:$R153="En Bodega"</formula>
    </cfRule>
  </conditionalFormatting>
  <conditionalFormatting sqref="A133:A135 B133:N153">
    <cfRule type="expression" dxfId="62" priority="93">
      <formula>$R133:$R153="Vendido"</formula>
    </cfRule>
    <cfRule type="expression" dxfId="61" priority="141">
      <formula>$R133:$R153="En Bodega"</formula>
    </cfRule>
    <cfRule type="expression" dxfId="60" priority="140">
      <formula>$R133:$R153="Casillero"</formula>
    </cfRule>
  </conditionalFormatting>
  <conditionalFormatting sqref="A136:A139">
    <cfRule type="expression" dxfId="59" priority="66">
      <formula>$R136:$R153="En Bodega"</formula>
    </cfRule>
    <cfRule type="expression" dxfId="58" priority="65">
      <formula>$R136:$R153="Casillero"</formula>
    </cfRule>
    <cfRule type="expression" dxfId="57" priority="64">
      <formula>$R136:$R153="Vendido"</formula>
    </cfRule>
  </conditionalFormatting>
  <conditionalFormatting sqref="A140:A141">
    <cfRule type="expression" dxfId="56" priority="94">
      <formula>$R140:$R153="Vendido"</formula>
    </cfRule>
    <cfRule type="expression" dxfId="55" priority="142">
      <formula>$R140:$R153="Casillero"</formula>
    </cfRule>
    <cfRule type="expression" dxfId="54" priority="143">
      <formula>$R140:$R153="En Bodega"</formula>
    </cfRule>
  </conditionalFormatting>
  <conditionalFormatting sqref="A142:A143">
    <cfRule type="expression" dxfId="53" priority="67">
      <formula>$R142:$R153="Vendido"</formula>
    </cfRule>
    <cfRule type="expression" dxfId="52" priority="69">
      <formula>$R142:$R153="En Bodega"</formula>
    </cfRule>
    <cfRule type="expression" dxfId="51" priority="68">
      <formula>$R142:$R153="Casillero"</formula>
    </cfRule>
  </conditionalFormatting>
  <conditionalFormatting sqref="A144:A146">
    <cfRule type="expression" dxfId="50" priority="95">
      <formula>$R144:$R153="Vendido"</formula>
    </cfRule>
    <cfRule type="expression" dxfId="49" priority="144">
      <formula>$R144:$R153="Casillero"</formula>
    </cfRule>
    <cfRule type="expression" dxfId="48" priority="145">
      <formula>$R144:$R153="En Bodega"</formula>
    </cfRule>
  </conditionalFormatting>
  <conditionalFormatting sqref="A147:A153">
    <cfRule type="expression" dxfId="47" priority="70">
      <formula>$R147:$R153="Vendido"</formula>
    </cfRule>
    <cfRule type="expression" dxfId="46" priority="71">
      <formula>$R147:$R153="Casillero"</formula>
    </cfRule>
    <cfRule type="expression" dxfId="45" priority="72">
      <formula>$R147:$R153="En Bodega"</formula>
    </cfRule>
  </conditionalFormatting>
  <conditionalFormatting sqref="A150:A152">
    <cfRule type="expression" dxfId="44" priority="73">
      <formula>$R150:$R153="Vendido"</formula>
    </cfRule>
    <cfRule type="expression" dxfId="43" priority="147">
      <formula>$R150:$R153="En Bodega"</formula>
    </cfRule>
    <cfRule type="expression" dxfId="42" priority="146">
      <formula>$R150:$R153="Casillero"</formula>
    </cfRule>
  </conditionalFormatting>
  <conditionalFormatting sqref="A2:E4">
    <cfRule type="expression" dxfId="41" priority="7">
      <formula>$R2:$R93="Vendido"</formula>
    </cfRule>
    <cfRule type="expression" dxfId="40" priority="8">
      <formula>$R2:$R93="Casillero"</formula>
    </cfRule>
    <cfRule type="expression" dxfId="39" priority="9">
      <formula>$R2:$R93="En Bodega"</formula>
    </cfRule>
  </conditionalFormatting>
  <conditionalFormatting sqref="A6:L7 O6:U22 B8:E12 G8:K13 L8:L25 A13:E13 A14:K22">
    <cfRule type="expression" dxfId="38" priority="39">
      <formula>$R6:$R97="En Bodega"</formula>
    </cfRule>
    <cfRule type="expression" dxfId="37" priority="38">
      <formula>$R6:$R97="Casillero"</formula>
    </cfRule>
  </conditionalFormatting>
  <conditionalFormatting sqref="A23:L25 Q26:U26 B26:M28 O26:O34 Q27:T34 U27:U36 A29:M34">
    <cfRule type="expression" dxfId="36" priority="35">
      <formula>$R23:$R116="Casillero"</formula>
    </cfRule>
    <cfRule type="expression" dxfId="35" priority="34">
      <formula>$R23:$R116="Vendido"</formula>
    </cfRule>
    <cfRule type="expression" dxfId="34" priority="36">
      <formula>$R23:$R116="En Bodega"</formula>
    </cfRule>
  </conditionalFormatting>
  <conditionalFormatting sqref="A5:U5 B6:K7 L6:M25 O6:U25 N6:N34 B8:E13 G8:K13 B14:K22">
    <cfRule type="expression" dxfId="33" priority="24">
      <formula>$R5:$R98="En Bodega"</formula>
    </cfRule>
    <cfRule type="expression" dxfId="32" priority="23">
      <formula>$R5:$R98="Casillero"</formula>
    </cfRule>
  </conditionalFormatting>
  <conditionalFormatting sqref="B39:E50">
    <cfRule type="expression" dxfId="31" priority="27">
      <formula>$R39:$R138="En Bodega"</formula>
    </cfRule>
    <cfRule type="expression" dxfId="30" priority="26">
      <formula>$R39:$R138="Casillero"</formula>
    </cfRule>
    <cfRule type="expression" dxfId="29" priority="25">
      <formula>$R39:$R138="Vendido"</formula>
    </cfRule>
  </conditionalFormatting>
  <conditionalFormatting sqref="B35:H38 J37:U39 J35:O36 Q35:T36 I35:I50">
    <cfRule type="expression" dxfId="28" priority="31">
      <formula>$R35:$R134="Vendido"</formula>
    </cfRule>
  </conditionalFormatting>
  <conditionalFormatting sqref="B14:K22 A5:U5 B6:K7 L6:M25 O6:U25 N6:N34 B8:E13 G8:K13">
    <cfRule type="expression" dxfId="27" priority="22">
      <formula>$R5:$R98="Vendido"</formula>
    </cfRule>
  </conditionalFormatting>
  <conditionalFormatting sqref="B2:U4">
    <cfRule type="expression" dxfId="26" priority="6">
      <formula>$R2:$R95="En Bodega"</formula>
    </cfRule>
    <cfRule type="expression" dxfId="25" priority="5">
      <formula>$R2:$R95="Casillero"</formula>
    </cfRule>
    <cfRule type="expression" dxfId="24" priority="4">
      <formula>$R2:$R95="Vendido"</formula>
    </cfRule>
  </conditionalFormatting>
  <conditionalFormatting sqref="F8:F22">
    <cfRule type="expression" dxfId="23" priority="20">
      <formula>$R8:$R101="Casillero"</formula>
    </cfRule>
    <cfRule type="expression" dxfId="22" priority="19">
      <formula>$R8:$R101="Vendido"</formula>
    </cfRule>
    <cfRule type="expression" dxfId="21" priority="21">
      <formula>$R8:$R101="En Bodega"</formula>
    </cfRule>
  </conditionalFormatting>
  <conditionalFormatting sqref="G2:L4 O2:U4">
    <cfRule type="expression" dxfId="20" priority="12">
      <formula>$R2:$R93="En Bodega"</formula>
    </cfRule>
    <cfRule type="expression" dxfId="19" priority="11">
      <formula>$R2:$R93="Casillero"</formula>
    </cfRule>
    <cfRule type="expression" dxfId="18" priority="10">
      <formula>$R2:$R93="Vendido"</formula>
    </cfRule>
  </conditionalFormatting>
  <conditionalFormatting sqref="J35:O36 Q35:T36 B35:H38 I35:I50 J37:U39">
    <cfRule type="expression" dxfId="17" priority="33">
      <formula>$R35:$R134="En Bodega"</formula>
    </cfRule>
    <cfRule type="expression" dxfId="16" priority="32">
      <formula>$R35:$R134="Casillero"</formula>
    </cfRule>
  </conditionalFormatting>
  <conditionalFormatting sqref="L8:L25 A6:L7 O6:U22 B8:E12 G8:K13 A13:E13 A14:K22">
    <cfRule type="expression" dxfId="15" priority="37">
      <formula>$R6:$R97="Vendido"</formula>
    </cfRule>
  </conditionalFormatting>
  <conditionalFormatting sqref="P26:P36">
    <cfRule type="expression" dxfId="14" priority="14">
      <formula>$R26:$R119="Casillero"</formula>
    </cfRule>
    <cfRule type="expression" dxfId="13" priority="16">
      <formula>$R26:$R117="Vendido"</formula>
    </cfRule>
    <cfRule type="expression" dxfId="12" priority="17">
      <formula>$R26:$R117="Casillero"</formula>
    </cfRule>
    <cfRule type="expression" dxfId="11" priority="18">
      <formula>$R26:$R117="En Bodega"</formula>
    </cfRule>
    <cfRule type="expression" dxfId="10" priority="15">
      <formula>$R26:$R119="En Bodega"</formula>
    </cfRule>
    <cfRule type="expression" dxfId="9" priority="13">
      <formula>$R26:$R119="Vendido"</formula>
    </cfRule>
  </conditionalFormatting>
  <conditionalFormatting sqref="R55:V69 B55:N132 O55:Q153">
    <cfRule type="expression" dxfId="8" priority="105">
      <formula>$R55:$R153="En Bodega"</formula>
    </cfRule>
    <cfRule type="expression" dxfId="7" priority="75">
      <formula>$R55:$R153="Vendido"</formula>
    </cfRule>
    <cfRule type="expression" dxfId="6" priority="104">
      <formula>$R55:$R153="Casillero"</formula>
    </cfRule>
  </conditionalFormatting>
  <conditionalFormatting sqref="R70:V153">
    <cfRule type="expression" dxfId="5" priority="100">
      <formula>$R70:$R153="Vendido"</formula>
    </cfRule>
    <cfRule type="expression" dxfId="4" priority="156">
      <formula>$R70:$R153="Casillero"</formula>
    </cfRule>
    <cfRule type="expression" dxfId="3" priority="157">
      <formula>$R70:$R153="En Bodega"</formula>
    </cfRule>
  </conditionalFormatting>
  <conditionalFormatting sqref="V2:V54 F35:F50 L39 R39 A39:A41 G39:H50 P39:P54 J40:J50 K40:O54 Q40:U54 A45:A50 B51:J54">
    <cfRule type="expression" dxfId="2" priority="30">
      <formula>$R2:$R101="En Bodega"</formula>
    </cfRule>
    <cfRule type="expression" dxfId="1" priority="29">
      <formula>$R2:$R101="Casillero"</formula>
    </cfRule>
    <cfRule type="expression" dxfId="0" priority="28">
      <formula>$R2:$R101="Vendido"</formula>
    </cfRule>
  </conditionalFormatting>
  <dataValidations count="1">
    <dataValidation type="list" allowBlank="1" showInputMessage="1" showErrorMessage="1" sqref="C2:C153 T62:T120 T2:T60 R104:S104 R105:R153 R2:R103 U2:U103" xr:uid="{C38B7002-EF07-408E-91BD-F1996125C904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Escobar Diaz</dc:creator>
  <cp:lastModifiedBy>Vladimir Escobar Diaz</cp:lastModifiedBy>
  <dcterms:created xsi:type="dcterms:W3CDTF">2024-09-28T16:44:56Z</dcterms:created>
  <dcterms:modified xsi:type="dcterms:W3CDTF">2024-10-13T13:45:59Z</dcterms:modified>
</cp:coreProperties>
</file>