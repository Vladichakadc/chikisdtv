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kisdTV\Tablas\"/>
    </mc:Choice>
  </mc:AlternateContent>
  <xr:revisionPtr revIDLastSave="0" documentId="8_{A2CAC2A4-F801-446B-86FC-3908F6EA8416}" xr6:coauthVersionLast="47" xr6:coauthVersionMax="47" xr10:uidLastSave="{00000000-0000-0000-0000-000000000000}"/>
  <bookViews>
    <workbookView xWindow="-28920" yWindow="1740" windowWidth="29040" windowHeight="15720" xr2:uid="{00000000-000D-0000-FFFF-FFFF00000000}"/>
  </bookViews>
  <sheets>
    <sheet name="Costo Pantalla" sheetId="1" r:id="rId1"/>
  </sheets>
  <definedNames>
    <definedName name="_xlnm._FilterDatabase" localSheetId="0" hidden="1">'Costo Pantalla'!$A$1:$P$1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O2" i="1" l="1"/>
  <c r="L2" i="1"/>
  <c r="N2" i="1"/>
  <c r="K2" i="1"/>
  <c r="M2" i="1" s="1"/>
  <c r="I2" i="1"/>
  <c r="L3" i="1"/>
  <c r="N3" i="1" s="1"/>
  <c r="K3" i="1"/>
  <c r="M3" i="1" s="1"/>
  <c r="I3" i="1"/>
  <c r="L4" i="1"/>
  <c r="N4" i="1" s="1"/>
  <c r="K4" i="1"/>
  <c r="I4" i="1"/>
  <c r="L5" i="1"/>
  <c r="N5" i="1" s="1"/>
  <c r="K5" i="1"/>
  <c r="I5" i="1"/>
  <c r="L6" i="1"/>
  <c r="N6" i="1" s="1"/>
  <c r="K6" i="1"/>
  <c r="M6" i="1" s="1"/>
  <c r="I6" i="1"/>
  <c r="L7" i="1"/>
  <c r="N7" i="1" s="1"/>
  <c r="K7" i="1"/>
  <c r="M7" i="1" s="1"/>
  <c r="I7" i="1"/>
  <c r="L8" i="1"/>
  <c r="N8" i="1" s="1"/>
  <c r="K8" i="1"/>
  <c r="I8" i="1"/>
  <c r="L9" i="1"/>
  <c r="N9" i="1" s="1"/>
  <c r="K9" i="1"/>
  <c r="I9" i="1"/>
  <c r="L10" i="1"/>
  <c r="N10" i="1" s="1"/>
  <c r="K10" i="1"/>
  <c r="I10" i="1"/>
  <c r="L11" i="1"/>
  <c r="N11" i="1" s="1"/>
  <c r="K11" i="1"/>
  <c r="I11" i="1"/>
  <c r="L12" i="1"/>
  <c r="N12" i="1" s="1"/>
  <c r="K12" i="1"/>
  <c r="I12" i="1"/>
  <c r="L13" i="1"/>
  <c r="N13" i="1" s="1"/>
  <c r="K13" i="1"/>
  <c r="I13" i="1"/>
  <c r="L14" i="1"/>
  <c r="N14" i="1" s="1"/>
  <c r="K14" i="1"/>
  <c r="I14" i="1"/>
  <c r="L15" i="1"/>
  <c r="N15" i="1" s="1"/>
  <c r="K15" i="1"/>
  <c r="I15" i="1"/>
  <c r="I20" i="1"/>
  <c r="I19" i="1"/>
  <c r="I18" i="1"/>
  <c r="I17" i="1"/>
  <c r="I16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5" i="1"/>
  <c r="I26" i="1"/>
  <c r="I24" i="1"/>
  <c r="I23" i="1"/>
  <c r="I22" i="1"/>
  <c r="I21" i="1"/>
  <c r="K16" i="1"/>
  <c r="K19" i="1"/>
  <c r="L16" i="1"/>
  <c r="N16" i="1" s="1"/>
  <c r="L17" i="1"/>
  <c r="N17" i="1" s="1"/>
  <c r="K17" i="1"/>
  <c r="L18" i="1"/>
  <c r="N18" i="1" s="1"/>
  <c r="K18" i="1"/>
  <c r="L19" i="1"/>
  <c r="N19" i="1" s="1"/>
  <c r="L20" i="1"/>
  <c r="N20" i="1" s="1"/>
  <c r="K20" i="1"/>
  <c r="L21" i="1"/>
  <c r="N21" i="1" s="1"/>
  <c r="K21" i="1"/>
  <c r="L22" i="1"/>
  <c r="N22" i="1" s="1"/>
  <c r="K22" i="1"/>
  <c r="L23" i="1"/>
  <c r="N23" i="1" s="1"/>
  <c r="K23" i="1"/>
  <c r="L26" i="1"/>
  <c r="N26" i="1" s="1"/>
  <c r="K26" i="1"/>
  <c r="K24" i="1"/>
  <c r="L24" i="1"/>
  <c r="N24" i="1" s="1"/>
  <c r="L25" i="1"/>
  <c r="N25" i="1" s="1"/>
  <c r="K25" i="1"/>
  <c r="L27" i="1"/>
  <c r="N27" i="1" s="1"/>
  <c r="K27" i="1"/>
  <c r="K28" i="1"/>
  <c r="L28" i="1"/>
  <c r="N28" i="1" s="1"/>
  <c r="O28" i="1" s="1"/>
  <c r="L29" i="1"/>
  <c r="N29" i="1" s="1"/>
  <c r="K29" i="1"/>
  <c r="L30" i="1"/>
  <c r="N30" i="1" s="1"/>
  <c r="K30" i="1"/>
  <c r="L31" i="1"/>
  <c r="N31" i="1" s="1"/>
  <c r="K31" i="1"/>
  <c r="L32" i="1"/>
  <c r="N32" i="1" s="1"/>
  <c r="K32" i="1"/>
  <c r="L33" i="1"/>
  <c r="N33" i="1" s="1"/>
  <c r="K33" i="1"/>
  <c r="K35" i="1"/>
  <c r="K36" i="1"/>
  <c r="L38" i="1"/>
  <c r="N38" i="1" s="1"/>
  <c r="L37" i="1"/>
  <c r="N37" i="1" s="1"/>
  <c r="L36" i="1"/>
  <c r="N36" i="1" s="1"/>
  <c r="L34" i="1"/>
  <c r="N34" i="1" s="1"/>
  <c r="L39" i="1"/>
  <c r="N39" i="1" s="1"/>
  <c r="K38" i="1"/>
  <c r="K37" i="1"/>
  <c r="K34" i="1"/>
  <c r="K39" i="1"/>
  <c r="O3" i="1" l="1"/>
  <c r="O4" i="1"/>
  <c r="M4" i="1"/>
  <c r="M8" i="1"/>
  <c r="O5" i="1"/>
  <c r="M5" i="1"/>
  <c r="O19" i="1"/>
  <c r="O6" i="1"/>
  <c r="M9" i="1"/>
  <c r="O7" i="1"/>
  <c r="O21" i="1"/>
  <c r="O33" i="1"/>
  <c r="O27" i="1"/>
  <c r="O39" i="1"/>
  <c r="O8" i="1"/>
  <c r="O10" i="1"/>
  <c r="O31" i="1"/>
  <c r="O14" i="1"/>
  <c r="O34" i="1"/>
  <c r="O9" i="1"/>
  <c r="O38" i="1"/>
  <c r="O29" i="1"/>
  <c r="O23" i="1"/>
  <c r="O16" i="1"/>
  <c r="O15" i="1"/>
  <c r="O11" i="1"/>
  <c r="O36" i="1"/>
  <c r="O30" i="1"/>
  <c r="O25" i="1"/>
  <c r="O26" i="1"/>
  <c r="O22" i="1"/>
  <c r="O20" i="1"/>
  <c r="O12" i="1"/>
  <c r="O18" i="1"/>
  <c r="O32" i="1"/>
  <c r="O37" i="1"/>
  <c r="O24" i="1"/>
  <c r="O17" i="1"/>
  <c r="O13" i="1"/>
  <c r="M10" i="1"/>
  <c r="M11" i="1"/>
  <c r="M12" i="1"/>
  <c r="M13" i="1"/>
  <c r="M26" i="1"/>
  <c r="M20" i="1"/>
  <c r="M14" i="1"/>
  <c r="M15" i="1"/>
  <c r="M16" i="1"/>
  <c r="M27" i="1"/>
  <c r="M29" i="1"/>
  <c r="M21" i="1"/>
  <c r="M19" i="1"/>
  <c r="M23" i="1"/>
  <c r="M34" i="1"/>
  <c r="M30" i="1"/>
  <c r="M17" i="1"/>
  <c r="M39" i="1"/>
  <c r="M25" i="1"/>
  <c r="M22" i="1"/>
  <c r="M18" i="1"/>
  <c r="M24" i="1"/>
  <c r="M28" i="1"/>
  <c r="M36" i="1"/>
  <c r="M37" i="1"/>
  <c r="M31" i="1"/>
  <c r="M32" i="1"/>
  <c r="M33" i="1"/>
  <c r="M38" i="1"/>
  <c r="L35" i="1"/>
  <c r="M35" i="1" l="1"/>
  <c r="N35" i="1"/>
  <c r="O35" i="1" s="1"/>
</calcChain>
</file>

<file path=xl/sharedStrings.xml><?xml version="1.0" encoding="utf-8"?>
<sst xmlns="http://schemas.openxmlformats.org/spreadsheetml/2006/main" count="168" uniqueCount="67">
  <si>
    <t>Item_Quantity</t>
  </si>
  <si>
    <t>Accion</t>
  </si>
  <si>
    <t xml:space="preserve">Fecha </t>
  </si>
  <si>
    <t>Año</t>
  </si>
  <si>
    <t>Mes</t>
  </si>
  <si>
    <t>Recarga</t>
  </si>
  <si>
    <t>Id_rec</t>
  </si>
  <si>
    <t>R1</t>
  </si>
  <si>
    <t>Creditos</t>
  </si>
  <si>
    <t>Medio Pago</t>
  </si>
  <si>
    <t>Nequi</t>
  </si>
  <si>
    <t>ENERO</t>
  </si>
  <si>
    <t>FEBRERO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</si>
  <si>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</si>
  <si>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</si>
  <si>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</si>
  <si>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</si>
  <si>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</si>
  <si>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</si>
  <si>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</si>
  <si>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</si>
  <si>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Costo COP</t>
  </si>
  <si>
    <t>R2</t>
  </si>
  <si>
    <t>R3</t>
  </si>
  <si>
    <t>R4</t>
  </si>
  <si>
    <t>R5</t>
  </si>
  <si>
    <t>R6</t>
  </si>
  <si>
    <t>Costo USD</t>
  </si>
  <si>
    <t>TRM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</si>
  <si>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</si>
  <si>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</si>
  <si>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</si>
  <si>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</si>
  <si>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</si>
  <si>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</si>
  <si>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</si>
  <si>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</si>
  <si>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</si>
  <si>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</si>
  <si>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</si>
  <si>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</si>
  <si>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</si>
  <si>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</si>
  <si>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</si>
  <si>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MARZO</t>
  </si>
  <si>
    <t>R22</t>
  </si>
  <si>
    <t>R23</t>
  </si>
  <si>
    <t>R24</t>
  </si>
  <si>
    <t>Impuesto 4x100 COP</t>
  </si>
  <si>
    <t>R25</t>
  </si>
  <si>
    <t>R26</t>
  </si>
  <si>
    <t>R27</t>
  </si>
  <si>
    <t>R28</t>
  </si>
  <si>
    <t>R29</t>
  </si>
  <si>
    <t>R30</t>
  </si>
  <si>
    <t>R31</t>
  </si>
  <si>
    <t>Costo Pantalla USD</t>
  </si>
  <si>
    <t xml:space="preserve">Costo Unitario Cuenta USD </t>
  </si>
  <si>
    <t>Costo Unitario cuenta COP</t>
  </si>
  <si>
    <t>Costo Pantalla COP</t>
  </si>
  <si>
    <t>R32</t>
  </si>
  <si>
    <t>R33</t>
  </si>
  <si>
    <t>R34</t>
  </si>
  <si>
    <t>R35</t>
  </si>
  <si>
    <t>R36</t>
  </si>
  <si>
    <t>R37</t>
  </si>
  <si>
    <t>R38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</si>
</sst>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"/>
    <numFmt numFmtId="166" formatCode="[$USD]\ #,##0.0"/>
    <numFmt numFmtId="167" formatCode="&quot;$&quot;\ #,##0.00"/>
    <numFmt numFmtId="168" formatCode="[$USD]\ #,##0"/>
  </numFmts>
  <fonts count="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3"/>
      <color theme="1" tint="0.24994659260841701"/>
      <name val="Calibri Light"/>
      <family val="2"/>
      <scheme val="maj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76B4F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4" fontId="3" fillId="0" borderId="0" applyFont="0" applyFill="0" applyBorder="0" applyAlignment="0" applyProtection="0"/>
    <xf numFmtId="0" fontId="2" fillId="0" borderId="0"/>
    <xf numFmtId="0" fontId="5" fillId="0" borderId="0" applyFill="0" applyBorder="0" applyProtection="0">
      <alignment horizontal="left" wrapText="1"/>
    </xf>
    <xf numFmtId="0" fontId="1" fillId="0" borderId="0"/>
  </cellStyleXfs>
  <cellXfs count="20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49" fontId="4" fillId="2" borderId="0" xfId="2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4" fillId="2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 vertical="center"/>
    </xf>
    <xf numFmtId="166" fontId="4" fillId="2" borderId="0" xfId="1" applyNumberFormat="1" applyFont="1" applyFill="1" applyAlignment="1">
      <alignment horizontal="center" vertical="center"/>
    </xf>
    <xf numFmtId="166" fontId="0" fillId="0" borderId="0" xfId="1" applyNumberFormat="1" applyFont="1" applyAlignment="1">
      <alignment horizontal="center"/>
    </xf>
    <xf numFmtId="166" fontId="0" fillId="0" borderId="0" xfId="1" applyNumberFormat="1" applyFont="1"/>
    <xf numFmtId="167" fontId="0" fillId="0" borderId="0" xfId="1" applyNumberFormat="1" applyFont="1" applyAlignment="1">
      <alignment horizontal="center"/>
    </xf>
    <xf numFmtId="168" fontId="4" fillId="2" borderId="0" xfId="1" applyNumberFormat="1" applyFont="1" applyFill="1" applyAlignment="1">
      <alignment horizontal="center" vertical="center"/>
    </xf>
    <xf numFmtId="168" fontId="0" fillId="0" borderId="0" xfId="1" applyNumberFormat="1" applyFont="1" applyAlignment="1">
      <alignment horizontal="center"/>
    </xf>
    <xf numFmtId="168" fontId="0" fillId="0" borderId="0" xfId="1" applyNumberFormat="1" applyFont="1"/>
  </cellXfs>
  <cellStyles count="5">
    <cellStyle name="Actividad" xfId="3" xr:uid="{4602AD21-8DDF-498D-828F-1F24CE28ED17}"/>
    <cellStyle name="Moneda" xfId="1" builtinId="4"/>
    <cellStyle name="Normal" xfId="0" builtinId="0"/>
    <cellStyle name="Normal 2" xfId="4" xr:uid="{39793829-323E-48B4-9F30-44FB5FFC51C6}"/>
    <cellStyle name="Normal 8" xfId="2" xr:uid="{F4EE9B49-2B36-4BD5-B732-7932F9B6391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1"/>
  <sheetViews>
    <sheetView tabSelected="1" topLeftCell="B1" zoomScale="130" zoomScaleNormal="130" workbookViewId="0">
      <pane ySplit="1" topLeftCell="A2" activePane="bottomLeft" state="frozen"/>
      <selection pane="bottomLeft" activeCell="O2" sqref="O2"/>
    </sheetView>
  </sheetViews>
  <sheetFormatPr baseColWidth="10" defaultColWidth="9.140625" defaultRowHeight="15" x14ac:dyDescent="0.25"/>
  <cols>
    <col min="1" max="1" width="7.5703125" bestFit="1" customWidth="1"/>
    <col min="2" max="2" width="11.42578125" bestFit="1" customWidth="1"/>
    <col min="3" max="3" width="8.42578125" bestFit="1" customWidth="1"/>
    <col min="4" max="4" width="11.42578125" bestFit="1" customWidth="1"/>
    <col min="5" max="5" width="5.42578125" bestFit="1" customWidth="1"/>
    <col min="6" max="6" width="11.42578125" bestFit="1" customWidth="1"/>
    <col min="7" max="7" width="13.85546875" style="5" bestFit="1" customWidth="1"/>
    <col min="8" max="8" width="12.5703125" style="2" bestFit="1" customWidth="1"/>
    <col min="9" max="9" width="20.5703125" style="2" bestFit="1" customWidth="1"/>
    <col min="10" max="10" width="10.140625" style="19" bestFit="1" customWidth="1"/>
    <col min="11" max="11" width="7.5703125" style="2" bestFit="1" customWidth="1"/>
    <col min="12" max="12" width="25" style="15" bestFit="1" customWidth="1"/>
    <col min="13" max="13" width="25.5703125" style="2" bestFit="1" customWidth="1"/>
    <col min="14" max="15" width="19.42578125" style="2" bestFit="1" customWidth="1"/>
    <col min="16" max="16" width="13" bestFit="1" customWidth="1"/>
  </cols>
  <sheetData>
    <row r="1" spans="1:16" x14ac:dyDescent="0.25">
      <c r="A1" s="3" t="s">
        <v>6</v>
      </c>
      <c r="B1" s="3" t="s">
        <v>1</v>
      </c>
      <c r="C1" s="3" t="s">
        <v>8</v>
      </c>
      <c r="D1" s="3" t="s">
        <v>2</v>
      </c>
      <c r="E1" s="3" t="s">
        <v>3</v>
      </c>
      <c r="F1" s="3" t="s">
        <v>4</v>
      </c>
      <c r="G1" s="3" t="s">
        <v>0</v>
      </c>
      <c r="H1" s="6" t="s">
        <v>21</v>
      </c>
      <c r="I1" s="6" t="s">
        <v>48</v>
      </c>
      <c r="J1" s="17" t="s">
        <v>27</v>
      </c>
      <c r="K1" s="6" t="s">
        <v>28</v>
      </c>
      <c r="L1" s="13" t="s">
        <v>57</v>
      </c>
      <c r="M1" s="6" t="s">
        <v>58</v>
      </c>
      <c r="N1" s="6" t="s">
        <v>56</v>
      </c>
      <c r="O1" s="6" t="s">
        <v>59</v>
      </c>
      <c r="P1" s="6" t="s">
        <v>9</v>
      </c>
    </row>
    <row r="2" spans="1:16" x14ac:dyDescent="0.25">
      <c r="A2" s="5" t="s">
        <v>66</v>
      </c>
      <c r="B2" s="5" t="s">
        <v>5</v>
      </c>
      <c r="C2" s="5">
        <v>100</v>
      </c>
      <c r="D2" s="1">
        <v>46062</v>
      </c>
      <c r="E2" s="4">
        <v>2026</v>
      </c>
      <c r="F2" s="5" t="s">
        <v>12</v>
      </c>
      <c r="G2" s="5">
        <v>1</v>
      </c>
      <c r="H2" s="2">
        <v>1285000</v>
      </c>
      <c r="I2" s="12">
        <f t="shared" ref="I2" si="0">(H2/1000)*4</f>
        <v>5140</v>
      </c>
      <c r="J2" s="18">
        <v>350</v>
      </c>
      <c r="K2" s="10">
        <f t="shared" ref="K2" si="1">H2/J2</f>
        <v>3671.4285714285716</v>
      </c>
      <c r="L2" s="14">
        <f>J2/C2</f>
        <v>3.5</v>
      </c>
      <c r="M2" s="10">
        <f t="shared" ref="M2" si="2">K2*L2</f>
        <v>12850</v>
      </c>
      <c r="N2" s="16">
        <f t="shared" ref="N2" si="3">L2/3</f>
        <v>1.1666666666666667</v>
      </c>
      <c r="O2" s="10">
        <f>N2*K2</f>
        <v>4283.3333333333339</v>
      </c>
      <c r="P2" s="10" t="s">
        <v>10</v>
      </c>
    </row>
    <row r="3" spans="1:16" x14ac:dyDescent="0.25">
      <c r="A3" s="5" t="s">
        <v>65</v>
      </c>
      <c r="B3" s="5" t="s">
        <v>5</v>
      </c>
      <c r="C3" s="5">
        <v>100</v>
      </c>
      <c r="D3" s="1">
        <v>46040</v>
      </c>
      <c r="E3" s="4">
        <v>2026</v>
      </c>
      <c r="F3" s="5" t="s">
        <v>11</v>
      </c>
      <c r="G3" s="5">
        <v>1</v>
      </c>
      <c r="H3" s="2">
        <v>1300000</v>
      </c>
      <c r="I3" s="12">
        <f t="shared" ref="I3" si="4">(H3/1000)*4</f>
        <v>5200</v>
      </c>
      <c r="J3" s="18">
        <v>350</v>
      </c>
      <c r="K3" s="10">
        <f t="shared" ref="K3" si="5">H3/J3</f>
        <v>3714.2857142857142</v>
      </c>
      <c r="L3" s="14">
        <f t="shared" ref="L3" si="6">J3/C3</f>
        <v>3.5</v>
      </c>
      <c r="M3" s="10">
        <f t="shared" ref="M3" si="7">K3*L3</f>
        <v>13000</v>
      </c>
      <c r="N3" s="16">
        <f t="shared" ref="N3:N9" si="8">L3/3</f>
        <v>1.1666666666666667</v>
      </c>
      <c r="O3" s="10">
        <f t="shared" ref="O3:O9" si="9">N3*K3</f>
        <v>4333.3333333333339</v>
      </c>
      <c r="P3" s="10" t="s">
        <v>10</v>
      </c>
    </row>
    <row r="4" spans="1:16" x14ac:dyDescent="0.25">
      <c r="A4" s="5" t="s">
        <v>64</v>
      </c>
      <c r="B4" s="5" t="s">
        <v>5</v>
      </c>
      <c r="C4" s="5">
        <v>100</v>
      </c>
      <c r="D4" s="1">
        <v>46034</v>
      </c>
      <c r="E4" s="4">
        <v>2026</v>
      </c>
      <c r="F4" s="5" t="s">
        <v>11</v>
      </c>
      <c r="G4" s="5">
        <v>1</v>
      </c>
      <c r="H4" s="2">
        <v>1302000</v>
      </c>
      <c r="I4" s="12">
        <f t="shared" ref="I4" si="10">(H4/1000)*4</f>
        <v>5208</v>
      </c>
      <c r="J4" s="18">
        <v>350</v>
      </c>
      <c r="K4" s="10">
        <f t="shared" ref="K4" si="11">H4/J4</f>
        <v>3720</v>
      </c>
      <c r="L4" s="14">
        <f t="shared" ref="L4" si="12">J4/C4</f>
        <v>3.5</v>
      </c>
      <c r="M4" s="10">
        <f t="shared" ref="M4" si="13">K4*L4</f>
        <v>13020</v>
      </c>
      <c r="N4" s="16">
        <f t="shared" si="8"/>
        <v>1.1666666666666667</v>
      </c>
      <c r="O4" s="10">
        <f t="shared" si="9"/>
        <v>4340</v>
      </c>
      <c r="P4" s="10" t="s">
        <v>10</v>
      </c>
    </row>
    <row r="5" spans="1:16" x14ac:dyDescent="0.25">
      <c r="A5" s="5" t="s">
        <v>63</v>
      </c>
      <c r="B5" s="5" t="s">
        <v>5</v>
      </c>
      <c r="C5" s="5">
        <v>100</v>
      </c>
      <c r="D5" s="1">
        <v>46023</v>
      </c>
      <c r="E5" s="4">
        <v>2026</v>
      </c>
      <c r="F5" s="5" t="s">
        <v>11</v>
      </c>
      <c r="G5" s="5">
        <v>1</v>
      </c>
      <c r="H5" s="2">
        <v>1301000</v>
      </c>
      <c r="I5" s="12">
        <f t="shared" ref="I5" si="14">(H5/1000)*4</f>
        <v>5204</v>
      </c>
      <c r="J5" s="18">
        <v>350</v>
      </c>
      <c r="K5" s="10">
        <f t="shared" ref="K5" si="15">H5/J5</f>
        <v>3717.1428571428573</v>
      </c>
      <c r="L5" s="14">
        <f t="shared" ref="L5" si="16">J5/C5</f>
        <v>3.5</v>
      </c>
      <c r="M5" s="10">
        <f t="shared" ref="M5" si="17">K5*L5</f>
        <v>13010</v>
      </c>
      <c r="N5" s="16">
        <f t="shared" si="8"/>
        <v>1.1666666666666667</v>
      </c>
      <c r="O5" s="10">
        <f t="shared" si="9"/>
        <v>4336.666666666667</v>
      </c>
      <c r="P5" s="10" t="s">
        <v>10</v>
      </c>
    </row>
    <row r="6" spans="1:16" x14ac:dyDescent="0.25">
      <c r="A6" s="5" t="s">
        <v>62</v>
      </c>
      <c r="B6" s="5" t="s">
        <v>5</v>
      </c>
      <c r="C6" s="5">
        <v>50</v>
      </c>
      <c r="D6" s="1">
        <v>45949</v>
      </c>
      <c r="E6" s="4">
        <v>2025</v>
      </c>
      <c r="F6" s="5" t="s">
        <v>19</v>
      </c>
      <c r="G6" s="5">
        <v>1</v>
      </c>
      <c r="H6" s="2">
        <v>767000</v>
      </c>
      <c r="I6" s="12">
        <f t="shared" ref="I6" si="18">(H6/1000)*4</f>
        <v>3068</v>
      </c>
      <c r="J6" s="18">
        <v>200</v>
      </c>
      <c r="K6" s="10">
        <f t="shared" ref="K6" si="19">H6/J6</f>
        <v>3835</v>
      </c>
      <c r="L6" s="14">
        <f t="shared" ref="L6" si="20">J6/C6</f>
        <v>4</v>
      </c>
      <c r="M6" s="10">
        <f t="shared" ref="M6" si="21">K6*L6</f>
        <v>15340</v>
      </c>
      <c r="N6" s="16">
        <f t="shared" si="8"/>
        <v>1.3333333333333333</v>
      </c>
      <c r="O6" s="10">
        <f t="shared" si="9"/>
        <v>5113.333333333333</v>
      </c>
      <c r="P6" s="10" t="s">
        <v>10</v>
      </c>
    </row>
    <row r="7" spans="1:16" x14ac:dyDescent="0.25">
      <c r="A7" s="5" t="s">
        <v>61</v>
      </c>
      <c r="B7" s="5" t="s">
        <v>5</v>
      </c>
      <c r="C7" s="5">
        <v>50</v>
      </c>
      <c r="D7" s="1">
        <v>45921</v>
      </c>
      <c r="E7" s="4">
        <v>2025</v>
      </c>
      <c r="F7" s="5" t="s">
        <v>18</v>
      </c>
      <c r="G7" s="5">
        <v>1</v>
      </c>
      <c r="H7" s="2">
        <v>780000</v>
      </c>
      <c r="I7" s="12">
        <f t="shared" ref="I7" si="22">(H7/1000)*4</f>
        <v>3120</v>
      </c>
      <c r="J7" s="18">
        <v>200</v>
      </c>
      <c r="K7" s="10">
        <f t="shared" ref="K7" si="23">H7/J7</f>
        <v>3900</v>
      </c>
      <c r="L7" s="14">
        <f t="shared" ref="L7" si="24">J7/C7</f>
        <v>4</v>
      </c>
      <c r="M7" s="10">
        <f t="shared" ref="M7" si="25">K7*L7</f>
        <v>15600</v>
      </c>
      <c r="N7" s="16">
        <f t="shared" si="8"/>
        <v>1.3333333333333333</v>
      </c>
      <c r="O7" s="10">
        <f t="shared" si="9"/>
        <v>5200</v>
      </c>
      <c r="P7" s="10" t="s">
        <v>10</v>
      </c>
    </row>
    <row r="8" spans="1:16" x14ac:dyDescent="0.25">
      <c r="A8" s="5" t="s">
        <v>60</v>
      </c>
      <c r="B8" s="5" t="s">
        <v>5</v>
      </c>
      <c r="C8" s="5">
        <v>100</v>
      </c>
      <c r="D8" s="1">
        <v>45888</v>
      </c>
      <c r="E8" s="4">
        <v>2025</v>
      </c>
      <c r="F8" s="5" t="s">
        <v>17</v>
      </c>
      <c r="G8" s="5">
        <v>1</v>
      </c>
      <c r="H8" s="2">
        <v>1415000</v>
      </c>
      <c r="I8" s="12">
        <f t="shared" ref="I8" si="26">(H8/1000)*4</f>
        <v>5660</v>
      </c>
      <c r="J8" s="18">
        <v>350</v>
      </c>
      <c r="K8" s="10">
        <f t="shared" ref="K8" si="27">H8/J8</f>
        <v>4042.8571428571427</v>
      </c>
      <c r="L8" s="14">
        <f t="shared" ref="L8" si="28">J8/C8</f>
        <v>3.5</v>
      </c>
      <c r="M8" s="10">
        <f t="shared" ref="M8" si="29">K8*L8</f>
        <v>14150</v>
      </c>
      <c r="N8" s="16">
        <f t="shared" si="8"/>
        <v>1.1666666666666667</v>
      </c>
      <c r="O8" s="10">
        <f t="shared" si="9"/>
        <v>4716.666666666667</v>
      </c>
      <c r="P8" s="10" t="s">
        <v>10</v>
      </c>
    </row>
    <row r="9" spans="1:16" x14ac:dyDescent="0.25">
      <c r="A9" s="5" t="s">
        <v>55</v>
      </c>
      <c r="B9" s="5" t="s">
        <v>5</v>
      </c>
      <c r="C9" s="5">
        <v>100</v>
      </c>
      <c r="D9" s="1">
        <v>45847</v>
      </c>
      <c r="E9" s="4">
        <v>2025</v>
      </c>
      <c r="F9" s="5" t="s">
        <v>16</v>
      </c>
      <c r="G9" s="5">
        <v>1</v>
      </c>
      <c r="H9" s="2">
        <v>1419000</v>
      </c>
      <c r="I9" s="12">
        <f t="shared" ref="I9" si="30">(H9/1000)*4</f>
        <v>5676</v>
      </c>
      <c r="J9" s="18">
        <v>350</v>
      </c>
      <c r="K9" s="10">
        <f t="shared" ref="K9" si="31">H9/J9</f>
        <v>4054.2857142857142</v>
      </c>
      <c r="L9" s="14">
        <f t="shared" ref="L9" si="32">J9/C9</f>
        <v>3.5</v>
      </c>
      <c r="M9" s="10">
        <f t="shared" ref="M9" si="33">K9*L9</f>
        <v>14190</v>
      </c>
      <c r="N9" s="16">
        <f t="shared" si="8"/>
        <v>1.1666666666666667</v>
      </c>
      <c r="O9" s="10">
        <f t="shared" si="9"/>
        <v>4730</v>
      </c>
      <c r="P9" s="10" t="s">
        <v>10</v>
      </c>
    </row>
    <row r="10" spans="1:16" x14ac:dyDescent="0.25">
      <c r="A10" s="5" t="s">
        <v>54</v>
      </c>
      <c r="B10" s="5" t="s">
        <v>5</v>
      </c>
      <c r="C10" s="5">
        <v>100</v>
      </c>
      <c r="D10" s="1">
        <v>45817</v>
      </c>
      <c r="E10" s="4">
        <v>2025</v>
      </c>
      <c r="F10" s="5" t="s">
        <v>15</v>
      </c>
      <c r="G10" s="5">
        <v>1</v>
      </c>
      <c r="H10" s="2">
        <v>1450000</v>
      </c>
      <c r="I10" s="12">
        <f t="shared" ref="I10" si="34">(H10/1000)*4</f>
        <v>5800</v>
      </c>
      <c r="J10" s="18">
        <v>350</v>
      </c>
      <c r="K10" s="10">
        <f t="shared" ref="K10" si="35">H10/J10</f>
        <v>4142.8571428571431</v>
      </c>
      <c r="L10" s="14">
        <f t="shared" ref="L10" si="36">J10/C10</f>
        <v>3.5</v>
      </c>
      <c r="M10" s="10">
        <f t="shared" ref="M10" si="37">K10*L10</f>
        <v>14500</v>
      </c>
      <c r="N10" s="16">
        <f t="shared" ref="N10:N39" si="38">L10/3</f>
        <v>1.1666666666666667</v>
      </c>
      <c r="O10" s="10">
        <f t="shared" ref="O10:O39" si="39">N10*K10</f>
        <v>4833.3333333333339</v>
      </c>
      <c r="P10" s="10" t="s">
        <v>10</v>
      </c>
    </row>
    <row r="11" spans="1:16" x14ac:dyDescent="0.25">
      <c r="A11" s="5" t="s">
        <v>53</v>
      </c>
      <c r="B11" s="5" t="s">
        <v>5</v>
      </c>
      <c r="C11" s="5">
        <v>100</v>
      </c>
      <c r="D11" s="1">
        <v>45789</v>
      </c>
      <c r="E11" s="4">
        <v>2025</v>
      </c>
      <c r="F11" s="5" t="s">
        <v>14</v>
      </c>
      <c r="G11" s="5">
        <v>1</v>
      </c>
      <c r="H11" s="2">
        <v>1484000</v>
      </c>
      <c r="I11" s="12">
        <f t="shared" ref="I11" si="40">(H11/1000)*4</f>
        <v>5936</v>
      </c>
      <c r="J11" s="18">
        <v>350</v>
      </c>
      <c r="K11" s="10">
        <f t="shared" ref="K11" si="41">H11/J11</f>
        <v>4240</v>
      </c>
      <c r="L11" s="14">
        <f t="shared" ref="L11" si="42">J11/C11</f>
        <v>3.5</v>
      </c>
      <c r="M11" s="10">
        <f t="shared" ref="M11" si="43">K11*L11</f>
        <v>14840</v>
      </c>
      <c r="N11" s="16">
        <f t="shared" si="38"/>
        <v>1.1666666666666667</v>
      </c>
      <c r="O11" s="10">
        <f t="shared" si="39"/>
        <v>4946.666666666667</v>
      </c>
      <c r="P11" s="10" t="s">
        <v>10</v>
      </c>
    </row>
    <row r="12" spans="1:16" x14ac:dyDescent="0.25">
      <c r="A12" s="5" t="s">
        <v>52</v>
      </c>
      <c r="B12" s="5" t="s">
        <v>5</v>
      </c>
      <c r="C12" s="5">
        <v>100</v>
      </c>
      <c r="D12" s="1">
        <v>45727</v>
      </c>
      <c r="E12" s="4">
        <v>2025</v>
      </c>
      <c r="F12" s="5" t="s">
        <v>44</v>
      </c>
      <c r="G12" s="5">
        <v>1</v>
      </c>
      <c r="H12" s="2">
        <v>1463000</v>
      </c>
      <c r="I12" s="12">
        <f t="shared" ref="I12" si="44">(H12/1000)*4</f>
        <v>5852</v>
      </c>
      <c r="J12" s="18">
        <v>350</v>
      </c>
      <c r="K12" s="10">
        <f t="shared" ref="K12" si="45">H12/J12</f>
        <v>4180</v>
      </c>
      <c r="L12" s="14">
        <f t="shared" ref="L12" si="46">J12/C12</f>
        <v>3.5</v>
      </c>
      <c r="M12" s="10">
        <f t="shared" ref="M12" si="47">K12*L12</f>
        <v>14630</v>
      </c>
      <c r="N12" s="16">
        <f t="shared" si="38"/>
        <v>1.1666666666666667</v>
      </c>
      <c r="O12" s="10">
        <f t="shared" si="39"/>
        <v>4876.666666666667</v>
      </c>
      <c r="P12" s="10" t="s">
        <v>10</v>
      </c>
    </row>
    <row r="13" spans="1:16" x14ac:dyDescent="0.25">
      <c r="A13" s="5" t="s">
        <v>51</v>
      </c>
      <c r="B13" s="5" t="s">
        <v>5</v>
      </c>
      <c r="C13" s="5">
        <v>100</v>
      </c>
      <c r="D13" s="1">
        <v>45694</v>
      </c>
      <c r="E13" s="4">
        <v>2025</v>
      </c>
      <c r="F13" s="5" t="s">
        <v>12</v>
      </c>
      <c r="G13" s="5">
        <v>1</v>
      </c>
      <c r="H13" s="2">
        <v>1463000</v>
      </c>
      <c r="I13" s="12">
        <f t="shared" ref="I13" si="48">(H13/1000)*4</f>
        <v>5852</v>
      </c>
      <c r="J13" s="18">
        <v>350</v>
      </c>
      <c r="K13" s="10">
        <f t="shared" ref="K13" si="49">H13/J13</f>
        <v>4180</v>
      </c>
      <c r="L13" s="14">
        <f t="shared" ref="L13" si="50">J13/C13</f>
        <v>3.5</v>
      </c>
      <c r="M13" s="10">
        <f t="shared" ref="M13" si="51">K13*L13</f>
        <v>14630</v>
      </c>
      <c r="N13" s="16">
        <f t="shared" si="38"/>
        <v>1.1666666666666667</v>
      </c>
      <c r="O13" s="10">
        <f t="shared" si="39"/>
        <v>4876.666666666667</v>
      </c>
      <c r="P13" s="10" t="s">
        <v>10</v>
      </c>
    </row>
    <row r="14" spans="1:16" x14ac:dyDescent="0.25">
      <c r="A14" s="5" t="s">
        <v>50</v>
      </c>
      <c r="B14" s="5" t="s">
        <v>5</v>
      </c>
      <c r="C14" s="5">
        <v>100</v>
      </c>
      <c r="D14" s="1">
        <v>45664</v>
      </c>
      <c r="E14" s="4">
        <v>2025</v>
      </c>
      <c r="F14" s="5" t="s">
        <v>11</v>
      </c>
      <c r="G14" s="5">
        <v>1</v>
      </c>
      <c r="H14" s="2">
        <v>1524000</v>
      </c>
      <c r="I14" s="12">
        <f t="shared" ref="I14:I39" si="52">(H14/1000)*4</f>
        <v>6096</v>
      </c>
      <c r="J14" s="18">
        <v>350</v>
      </c>
      <c r="K14" s="10">
        <f t="shared" ref="K14" si="53">H14/J14</f>
        <v>4354.2857142857147</v>
      </c>
      <c r="L14" s="14">
        <f t="shared" ref="L14" si="54">J14/C14</f>
        <v>3.5</v>
      </c>
      <c r="M14" s="10">
        <f t="shared" ref="M14" si="55">K14*L14</f>
        <v>15240.000000000002</v>
      </c>
      <c r="N14" s="16">
        <f t="shared" si="38"/>
        <v>1.1666666666666667</v>
      </c>
      <c r="O14" s="10">
        <f t="shared" si="39"/>
        <v>5080.0000000000009</v>
      </c>
      <c r="P14" s="10" t="s">
        <v>10</v>
      </c>
    </row>
    <row r="15" spans="1:16" x14ac:dyDescent="0.25">
      <c r="A15" s="5" t="s">
        <v>49</v>
      </c>
      <c r="B15" s="5" t="s">
        <v>5</v>
      </c>
      <c r="C15" s="5">
        <v>100</v>
      </c>
      <c r="D15" s="1">
        <v>45621</v>
      </c>
      <c r="E15" s="4">
        <v>2024</v>
      </c>
      <c r="F15" s="5" t="s">
        <v>20</v>
      </c>
      <c r="G15" s="5">
        <v>1</v>
      </c>
      <c r="H15" s="2">
        <v>1546000</v>
      </c>
      <c r="I15" s="12">
        <f t="shared" si="52"/>
        <v>6184</v>
      </c>
      <c r="J15" s="18">
        <v>350</v>
      </c>
      <c r="K15" s="10">
        <f t="shared" ref="K15:K39" si="56">H15/J15</f>
        <v>4417.1428571428569</v>
      </c>
      <c r="L15" s="14">
        <f t="shared" ref="L15:L39" si="57">J15/C15</f>
        <v>3.5</v>
      </c>
      <c r="M15" s="10">
        <f t="shared" ref="M15:M39" si="58">K15*L15</f>
        <v>15460</v>
      </c>
      <c r="N15" s="16">
        <f t="shared" si="38"/>
        <v>1.1666666666666667</v>
      </c>
      <c r="O15" s="10">
        <f t="shared" si="39"/>
        <v>5153.333333333333</v>
      </c>
      <c r="P15" s="10" t="s">
        <v>10</v>
      </c>
    </row>
    <row r="16" spans="1:16" x14ac:dyDescent="0.25">
      <c r="A16" s="5" t="s">
        <v>47</v>
      </c>
      <c r="B16" s="5" t="s">
        <v>5</v>
      </c>
      <c r="C16" s="5">
        <v>100</v>
      </c>
      <c r="D16" s="1">
        <v>45566</v>
      </c>
      <c r="E16" s="4">
        <v>2024</v>
      </c>
      <c r="F16" s="5" t="s">
        <v>19</v>
      </c>
      <c r="G16" s="5">
        <v>1</v>
      </c>
      <c r="H16" s="2">
        <v>1477000</v>
      </c>
      <c r="I16" s="12">
        <f t="shared" si="52"/>
        <v>5908</v>
      </c>
      <c r="J16" s="18">
        <v>350</v>
      </c>
      <c r="K16" s="10">
        <f t="shared" si="56"/>
        <v>4220</v>
      </c>
      <c r="L16" s="14">
        <f t="shared" si="57"/>
        <v>3.5</v>
      </c>
      <c r="M16" s="10">
        <f t="shared" si="58"/>
        <v>14770</v>
      </c>
      <c r="N16" s="16">
        <f t="shared" si="38"/>
        <v>1.1666666666666667</v>
      </c>
      <c r="O16" s="10">
        <f t="shared" si="39"/>
        <v>4923.3333333333339</v>
      </c>
      <c r="P16" s="10" t="s">
        <v>10</v>
      </c>
    </row>
    <row r="17" spans="1:16" x14ac:dyDescent="0.25">
      <c r="A17" s="5" t="s">
        <v>46</v>
      </c>
      <c r="B17" s="5" t="s">
        <v>5</v>
      </c>
      <c r="C17" s="5">
        <v>100</v>
      </c>
      <c r="D17" s="1">
        <v>45510</v>
      </c>
      <c r="E17" s="4">
        <v>2024</v>
      </c>
      <c r="F17" s="5" t="s">
        <v>17</v>
      </c>
      <c r="G17" s="5">
        <v>1</v>
      </c>
      <c r="H17" s="2">
        <v>1464000</v>
      </c>
      <c r="I17" s="12">
        <f t="shared" si="52"/>
        <v>5856</v>
      </c>
      <c r="J17" s="18">
        <v>350</v>
      </c>
      <c r="K17" s="10">
        <f t="shared" si="56"/>
        <v>4182.8571428571431</v>
      </c>
      <c r="L17" s="14">
        <f t="shared" si="57"/>
        <v>3.5</v>
      </c>
      <c r="M17" s="10">
        <f t="shared" si="58"/>
        <v>14640</v>
      </c>
      <c r="N17" s="16">
        <f t="shared" si="38"/>
        <v>1.1666666666666667</v>
      </c>
      <c r="O17" s="10">
        <f t="shared" si="39"/>
        <v>4880.0000000000009</v>
      </c>
      <c r="P17" s="10" t="s">
        <v>10</v>
      </c>
    </row>
    <row r="18" spans="1:16" x14ac:dyDescent="0.25">
      <c r="A18" s="5" t="s">
        <v>45</v>
      </c>
      <c r="B18" s="5" t="s">
        <v>5</v>
      </c>
      <c r="C18" s="5">
        <v>100</v>
      </c>
      <c r="D18" s="1">
        <v>45477</v>
      </c>
      <c r="E18" s="4">
        <v>2024</v>
      </c>
      <c r="F18" s="5" t="s">
        <v>16</v>
      </c>
      <c r="G18" s="5">
        <v>1</v>
      </c>
      <c r="H18" s="2">
        <v>1433600</v>
      </c>
      <c r="I18" s="12">
        <f t="shared" si="52"/>
        <v>5734.4</v>
      </c>
      <c r="J18" s="18">
        <v>350</v>
      </c>
      <c r="K18" s="10">
        <f t="shared" si="56"/>
        <v>4096</v>
      </c>
      <c r="L18" s="14">
        <f t="shared" si="57"/>
        <v>3.5</v>
      </c>
      <c r="M18" s="10">
        <f t="shared" si="58"/>
        <v>14336</v>
      </c>
      <c r="N18" s="16">
        <f t="shared" si="38"/>
        <v>1.1666666666666667</v>
      </c>
      <c r="O18" s="10">
        <f t="shared" si="39"/>
        <v>4778.666666666667</v>
      </c>
      <c r="P18" s="10" t="s">
        <v>10</v>
      </c>
    </row>
    <row r="19" spans="1:16" x14ac:dyDescent="0.25">
      <c r="A19" s="5" t="s">
        <v>43</v>
      </c>
      <c r="B19" s="5" t="s">
        <v>5</v>
      </c>
      <c r="C19" s="5">
        <v>100</v>
      </c>
      <c r="D19" s="1">
        <v>45441</v>
      </c>
      <c r="E19" s="4">
        <v>2024</v>
      </c>
      <c r="F19" s="5" t="s">
        <v>14</v>
      </c>
      <c r="G19" s="5">
        <v>1</v>
      </c>
      <c r="H19" s="2">
        <v>1355000</v>
      </c>
      <c r="I19" s="12">
        <f t="shared" si="52"/>
        <v>5420</v>
      </c>
      <c r="J19" s="18">
        <v>350</v>
      </c>
      <c r="K19" s="10">
        <f t="shared" si="56"/>
        <v>3871.4285714285716</v>
      </c>
      <c r="L19" s="14">
        <f t="shared" si="57"/>
        <v>3.5</v>
      </c>
      <c r="M19" s="10">
        <f t="shared" si="58"/>
        <v>13550</v>
      </c>
      <c r="N19" s="16">
        <f t="shared" si="38"/>
        <v>1.1666666666666667</v>
      </c>
      <c r="O19" s="10">
        <f t="shared" si="39"/>
        <v>4516.666666666667</v>
      </c>
      <c r="P19" s="10" t="s">
        <v>10</v>
      </c>
    </row>
    <row r="20" spans="1:16" x14ac:dyDescent="0.25">
      <c r="A20" s="5" t="s">
        <v>42</v>
      </c>
      <c r="B20" s="5" t="s">
        <v>5</v>
      </c>
      <c r="C20" s="5">
        <v>100</v>
      </c>
      <c r="D20" s="1">
        <v>45400</v>
      </c>
      <c r="E20" s="4">
        <v>2024</v>
      </c>
      <c r="F20" s="5" t="s">
        <v>13</v>
      </c>
      <c r="G20" s="5">
        <v>1</v>
      </c>
      <c r="H20" s="2">
        <v>1365000</v>
      </c>
      <c r="I20" s="12">
        <f t="shared" si="52"/>
        <v>5460</v>
      </c>
      <c r="J20" s="18">
        <v>350</v>
      </c>
      <c r="K20" s="10">
        <f t="shared" si="56"/>
        <v>3900</v>
      </c>
      <c r="L20" s="14">
        <f t="shared" si="57"/>
        <v>3.5</v>
      </c>
      <c r="M20" s="10">
        <f t="shared" si="58"/>
        <v>13650</v>
      </c>
      <c r="N20" s="16">
        <f t="shared" si="38"/>
        <v>1.1666666666666667</v>
      </c>
      <c r="O20" s="10">
        <f t="shared" si="39"/>
        <v>4550</v>
      </c>
      <c r="P20" s="10" t="s">
        <v>10</v>
      </c>
    </row>
    <row r="21" spans="1:16" x14ac:dyDescent="0.25">
      <c r="A21" s="5" t="s">
        <v>41</v>
      </c>
      <c r="B21" s="5" t="s">
        <v>5</v>
      </c>
      <c r="C21" s="5">
        <v>50</v>
      </c>
      <c r="D21" s="1">
        <v>45383</v>
      </c>
      <c r="E21" s="4">
        <v>2024</v>
      </c>
      <c r="F21" s="5" t="s">
        <v>13</v>
      </c>
      <c r="G21" s="5">
        <v>1</v>
      </c>
      <c r="H21" s="2">
        <v>773000</v>
      </c>
      <c r="I21" s="12">
        <f t="shared" si="52"/>
        <v>3092</v>
      </c>
      <c r="J21" s="18">
        <v>200</v>
      </c>
      <c r="K21" s="10">
        <f t="shared" si="56"/>
        <v>3865</v>
      </c>
      <c r="L21" s="14">
        <f t="shared" si="57"/>
        <v>4</v>
      </c>
      <c r="M21" s="10">
        <f t="shared" si="58"/>
        <v>15460</v>
      </c>
      <c r="N21" s="16">
        <f t="shared" si="38"/>
        <v>1.3333333333333333</v>
      </c>
      <c r="O21" s="10">
        <f t="shared" si="39"/>
        <v>5153.333333333333</v>
      </c>
      <c r="P21" s="5" t="s">
        <v>10</v>
      </c>
    </row>
    <row r="22" spans="1:16" x14ac:dyDescent="0.25">
      <c r="A22" s="5" t="s">
        <v>40</v>
      </c>
      <c r="B22" s="5" t="s">
        <v>5</v>
      </c>
      <c r="C22" s="5">
        <v>50</v>
      </c>
      <c r="D22" s="1">
        <v>45355</v>
      </c>
      <c r="E22" s="4">
        <v>2024</v>
      </c>
      <c r="F22" s="5" t="s">
        <v>44</v>
      </c>
      <c r="G22" s="5">
        <v>1</v>
      </c>
      <c r="H22" s="2">
        <v>787000</v>
      </c>
      <c r="I22" s="12">
        <f t="shared" si="52"/>
        <v>3148</v>
      </c>
      <c r="J22" s="18">
        <v>200</v>
      </c>
      <c r="K22" s="10">
        <f t="shared" si="56"/>
        <v>3935</v>
      </c>
      <c r="L22" s="14">
        <f t="shared" si="57"/>
        <v>4</v>
      </c>
      <c r="M22" s="10">
        <f t="shared" si="58"/>
        <v>15740</v>
      </c>
      <c r="N22" s="16">
        <f t="shared" si="38"/>
        <v>1.3333333333333333</v>
      </c>
      <c r="O22" s="10">
        <f t="shared" si="39"/>
        <v>5246.6666666666661</v>
      </c>
      <c r="P22" s="5" t="s">
        <v>10</v>
      </c>
    </row>
    <row r="23" spans="1:16" x14ac:dyDescent="0.25">
      <c r="A23" s="5" t="s">
        <v>39</v>
      </c>
      <c r="B23" s="5" t="s">
        <v>5</v>
      </c>
      <c r="C23" s="5">
        <v>50</v>
      </c>
      <c r="D23" s="1">
        <v>45323</v>
      </c>
      <c r="E23" s="4">
        <v>2024</v>
      </c>
      <c r="F23" s="5" t="s">
        <v>12</v>
      </c>
      <c r="G23" s="5">
        <v>1</v>
      </c>
      <c r="H23" s="2">
        <v>783000</v>
      </c>
      <c r="I23" s="12">
        <f t="shared" si="52"/>
        <v>3132</v>
      </c>
      <c r="J23" s="18">
        <v>200</v>
      </c>
      <c r="K23" s="10">
        <f t="shared" si="56"/>
        <v>3915</v>
      </c>
      <c r="L23" s="14">
        <f t="shared" si="57"/>
        <v>4</v>
      </c>
      <c r="M23" s="10">
        <f t="shared" si="58"/>
        <v>15660</v>
      </c>
      <c r="N23" s="16">
        <f t="shared" si="38"/>
        <v>1.3333333333333333</v>
      </c>
      <c r="O23" s="10">
        <f t="shared" si="39"/>
        <v>5220</v>
      </c>
      <c r="P23" s="5" t="s">
        <v>10</v>
      </c>
    </row>
    <row r="24" spans="1:16" x14ac:dyDescent="0.25">
      <c r="A24" s="5" t="s">
        <v>38</v>
      </c>
      <c r="B24" s="5" t="s">
        <v>5</v>
      </c>
      <c r="C24" s="5">
        <v>100</v>
      </c>
      <c r="D24" s="1">
        <v>45248</v>
      </c>
      <c r="E24" s="4">
        <v>2023</v>
      </c>
      <c r="F24" s="5" t="s">
        <v>20</v>
      </c>
      <c r="G24" s="5">
        <v>1</v>
      </c>
      <c r="H24" s="10">
        <v>1440000</v>
      </c>
      <c r="I24" s="12">
        <f t="shared" si="52"/>
        <v>5760</v>
      </c>
      <c r="J24" s="18">
        <v>350</v>
      </c>
      <c r="K24" s="10">
        <f t="shared" si="56"/>
        <v>4114.2857142857147</v>
      </c>
      <c r="L24" s="14">
        <f t="shared" si="57"/>
        <v>3.5</v>
      </c>
      <c r="M24" s="10">
        <f t="shared" si="58"/>
        <v>14400.000000000002</v>
      </c>
      <c r="N24" s="16">
        <f t="shared" si="38"/>
        <v>1.1666666666666667</v>
      </c>
      <c r="O24" s="10">
        <f t="shared" si="39"/>
        <v>4800.0000000000009</v>
      </c>
      <c r="P24" s="10" t="s">
        <v>10</v>
      </c>
    </row>
    <row r="25" spans="1:16" x14ac:dyDescent="0.25">
      <c r="A25" s="5" t="s">
        <v>36</v>
      </c>
      <c r="B25" s="5" t="s">
        <v>5</v>
      </c>
      <c r="C25" s="5">
        <v>50</v>
      </c>
      <c r="D25" s="1">
        <v>45216</v>
      </c>
      <c r="E25" s="4">
        <v>2023</v>
      </c>
      <c r="F25" s="5" t="s">
        <v>19</v>
      </c>
      <c r="G25" s="5">
        <v>1</v>
      </c>
      <c r="H25" s="2">
        <v>850000</v>
      </c>
      <c r="I25" s="12">
        <f t="shared" si="52"/>
        <v>3400</v>
      </c>
      <c r="J25" s="18">
        <v>200</v>
      </c>
      <c r="K25" s="10">
        <f t="shared" si="56"/>
        <v>4250</v>
      </c>
      <c r="L25" s="14">
        <f t="shared" si="57"/>
        <v>4</v>
      </c>
      <c r="M25" s="10">
        <f t="shared" si="58"/>
        <v>17000</v>
      </c>
      <c r="N25" s="16">
        <f t="shared" si="38"/>
        <v>1.3333333333333333</v>
      </c>
      <c r="O25" s="10">
        <f t="shared" si="39"/>
        <v>5666.6666666666661</v>
      </c>
      <c r="P25" s="5" t="s">
        <v>10</v>
      </c>
    </row>
    <row r="26" spans="1:16" x14ac:dyDescent="0.25">
      <c r="A26" s="5" t="s">
        <v>37</v>
      </c>
      <c r="B26" s="5" t="s">
        <v>5</v>
      </c>
      <c r="C26" s="5">
        <v>50</v>
      </c>
      <c r="D26" s="1">
        <v>45240</v>
      </c>
      <c r="E26" s="4">
        <v>2023</v>
      </c>
      <c r="F26" s="5" t="s">
        <v>20</v>
      </c>
      <c r="G26" s="5">
        <v>1</v>
      </c>
      <c r="H26" s="2">
        <v>811400</v>
      </c>
      <c r="I26" s="12">
        <f t="shared" si="52"/>
        <v>3245.6</v>
      </c>
      <c r="J26" s="18">
        <v>200</v>
      </c>
      <c r="K26" s="10">
        <f t="shared" si="56"/>
        <v>4057</v>
      </c>
      <c r="L26" s="14">
        <f t="shared" si="57"/>
        <v>4</v>
      </c>
      <c r="M26" s="10">
        <f t="shared" si="58"/>
        <v>16228</v>
      </c>
      <c r="N26" s="16">
        <f t="shared" si="38"/>
        <v>1.3333333333333333</v>
      </c>
      <c r="O26" s="10">
        <f t="shared" si="39"/>
        <v>5409.333333333333</v>
      </c>
      <c r="P26" s="5" t="s">
        <v>10</v>
      </c>
    </row>
    <row r="27" spans="1:16" x14ac:dyDescent="0.25">
      <c r="A27" s="5" t="s">
        <v>35</v>
      </c>
      <c r="B27" s="5" t="s">
        <v>5</v>
      </c>
      <c r="C27" s="5">
        <v>50</v>
      </c>
      <c r="D27" s="1">
        <v>45190</v>
      </c>
      <c r="E27" s="4">
        <v>2023</v>
      </c>
      <c r="F27" s="5" t="s">
        <v>18</v>
      </c>
      <c r="G27" s="5">
        <v>1</v>
      </c>
      <c r="H27" s="2">
        <v>789600</v>
      </c>
      <c r="I27" s="12">
        <f t="shared" si="52"/>
        <v>3158.4</v>
      </c>
      <c r="J27" s="18">
        <v>200</v>
      </c>
      <c r="K27" s="10">
        <f t="shared" si="56"/>
        <v>3948</v>
      </c>
      <c r="L27" s="14">
        <f t="shared" si="57"/>
        <v>4</v>
      </c>
      <c r="M27" s="10">
        <f t="shared" si="58"/>
        <v>15792</v>
      </c>
      <c r="N27" s="16">
        <f t="shared" si="38"/>
        <v>1.3333333333333333</v>
      </c>
      <c r="O27" s="10">
        <f t="shared" si="39"/>
        <v>5264</v>
      </c>
      <c r="P27" s="5" t="s">
        <v>10</v>
      </c>
    </row>
    <row r="28" spans="1:16" x14ac:dyDescent="0.25">
      <c r="A28" s="5" t="s">
        <v>34</v>
      </c>
      <c r="B28" s="5" t="s">
        <v>5</v>
      </c>
      <c r="C28" s="5">
        <v>50</v>
      </c>
      <c r="D28" s="1">
        <v>45166</v>
      </c>
      <c r="E28" s="4">
        <v>2023</v>
      </c>
      <c r="F28" s="5" t="s">
        <v>17</v>
      </c>
      <c r="G28" s="5">
        <v>1</v>
      </c>
      <c r="H28" s="2">
        <v>824000</v>
      </c>
      <c r="I28" s="12">
        <f t="shared" si="52"/>
        <v>3296</v>
      </c>
      <c r="J28" s="18">
        <v>200</v>
      </c>
      <c r="K28" s="10">
        <f t="shared" si="56"/>
        <v>4120</v>
      </c>
      <c r="L28" s="14">
        <f t="shared" si="57"/>
        <v>4</v>
      </c>
      <c r="M28" s="10">
        <f t="shared" si="58"/>
        <v>16480</v>
      </c>
      <c r="N28" s="16">
        <f t="shared" si="38"/>
        <v>1.3333333333333333</v>
      </c>
      <c r="O28" s="10">
        <f t="shared" si="39"/>
        <v>5493.333333333333</v>
      </c>
      <c r="P28" s="5" t="s">
        <v>10</v>
      </c>
    </row>
    <row r="29" spans="1:16" x14ac:dyDescent="0.25">
      <c r="A29" s="5" t="s">
        <v>33</v>
      </c>
      <c r="B29" s="5" t="s">
        <v>5</v>
      </c>
      <c r="C29" s="5">
        <v>50</v>
      </c>
      <c r="D29" s="1">
        <v>45104</v>
      </c>
      <c r="E29" s="4">
        <v>2023</v>
      </c>
      <c r="F29" s="5" t="s">
        <v>15</v>
      </c>
      <c r="G29" s="5">
        <v>1</v>
      </c>
      <c r="H29" s="2">
        <v>843500</v>
      </c>
      <c r="I29" s="12">
        <f t="shared" si="52"/>
        <v>3374</v>
      </c>
      <c r="J29" s="18">
        <v>200</v>
      </c>
      <c r="K29" s="10">
        <f t="shared" si="56"/>
        <v>4217.5</v>
      </c>
      <c r="L29" s="14">
        <f t="shared" si="57"/>
        <v>4</v>
      </c>
      <c r="M29" s="10">
        <f t="shared" si="58"/>
        <v>16870</v>
      </c>
      <c r="N29" s="16">
        <f t="shared" si="38"/>
        <v>1.3333333333333333</v>
      </c>
      <c r="O29" s="10">
        <f t="shared" si="39"/>
        <v>5623.333333333333</v>
      </c>
      <c r="P29" s="5" t="s">
        <v>10</v>
      </c>
    </row>
    <row r="30" spans="1:16" x14ac:dyDescent="0.25">
      <c r="A30" s="5" t="s">
        <v>32</v>
      </c>
      <c r="B30" s="5" t="s">
        <v>5</v>
      </c>
      <c r="C30" s="5">
        <v>50</v>
      </c>
      <c r="D30" s="1">
        <v>45085</v>
      </c>
      <c r="E30" s="4">
        <v>2023</v>
      </c>
      <c r="F30" s="5" t="s">
        <v>15</v>
      </c>
      <c r="G30" s="5">
        <v>1</v>
      </c>
      <c r="H30" s="2">
        <v>842000</v>
      </c>
      <c r="I30" s="12">
        <f t="shared" si="52"/>
        <v>3368</v>
      </c>
      <c r="J30" s="18">
        <v>200</v>
      </c>
      <c r="K30" s="10">
        <f t="shared" si="56"/>
        <v>4210</v>
      </c>
      <c r="L30" s="14">
        <f t="shared" si="57"/>
        <v>4</v>
      </c>
      <c r="M30" s="10">
        <f t="shared" si="58"/>
        <v>16840</v>
      </c>
      <c r="N30" s="16">
        <f t="shared" si="38"/>
        <v>1.3333333333333333</v>
      </c>
      <c r="O30" s="10">
        <f t="shared" si="39"/>
        <v>5613.333333333333</v>
      </c>
      <c r="P30" s="5" t="s">
        <v>10</v>
      </c>
    </row>
    <row r="31" spans="1:16" x14ac:dyDescent="0.25">
      <c r="A31" s="5" t="s">
        <v>31</v>
      </c>
      <c r="B31" s="5" t="s">
        <v>5</v>
      </c>
      <c r="C31" s="5">
        <v>50</v>
      </c>
      <c r="D31" s="1">
        <v>45049</v>
      </c>
      <c r="E31" s="4">
        <v>2023</v>
      </c>
      <c r="F31" s="5" t="s">
        <v>14</v>
      </c>
      <c r="G31" s="5">
        <v>1</v>
      </c>
      <c r="H31" s="2">
        <v>942600</v>
      </c>
      <c r="I31" s="12">
        <f t="shared" si="52"/>
        <v>3770.4</v>
      </c>
      <c r="J31" s="18">
        <v>200</v>
      </c>
      <c r="K31" s="10">
        <f t="shared" si="56"/>
        <v>4713</v>
      </c>
      <c r="L31" s="14">
        <f t="shared" si="57"/>
        <v>4</v>
      </c>
      <c r="M31" s="10">
        <f t="shared" si="58"/>
        <v>18852</v>
      </c>
      <c r="N31" s="16">
        <f t="shared" si="38"/>
        <v>1.3333333333333333</v>
      </c>
      <c r="O31" s="10">
        <f t="shared" si="39"/>
        <v>6284</v>
      </c>
      <c r="P31" s="5" t="s">
        <v>10</v>
      </c>
    </row>
    <row r="32" spans="1:16" x14ac:dyDescent="0.25">
      <c r="A32" s="5" t="s">
        <v>30</v>
      </c>
      <c r="B32" s="5" t="s">
        <v>5</v>
      </c>
      <c r="C32" s="5">
        <v>50</v>
      </c>
      <c r="D32" s="1">
        <v>45027</v>
      </c>
      <c r="E32" s="4">
        <v>2023</v>
      </c>
      <c r="F32" s="5" t="s">
        <v>13</v>
      </c>
      <c r="G32" s="5">
        <v>1</v>
      </c>
      <c r="H32" s="2">
        <v>912800</v>
      </c>
      <c r="I32" s="12">
        <f t="shared" si="52"/>
        <v>3651.2</v>
      </c>
      <c r="J32" s="18">
        <v>200</v>
      </c>
      <c r="K32" s="10">
        <f t="shared" si="56"/>
        <v>4564</v>
      </c>
      <c r="L32" s="14">
        <f t="shared" si="57"/>
        <v>4</v>
      </c>
      <c r="M32" s="10">
        <f t="shared" si="58"/>
        <v>18256</v>
      </c>
      <c r="N32" s="16">
        <f t="shared" si="38"/>
        <v>1.3333333333333333</v>
      </c>
      <c r="O32" s="10">
        <f t="shared" si="39"/>
        <v>6085.333333333333</v>
      </c>
      <c r="P32" s="5" t="s">
        <v>10</v>
      </c>
    </row>
    <row r="33" spans="1:16" x14ac:dyDescent="0.25">
      <c r="A33" s="5" t="s">
        <v>29</v>
      </c>
      <c r="B33" s="5" t="s">
        <v>5</v>
      </c>
      <c r="C33" s="5">
        <v>50</v>
      </c>
      <c r="D33" s="1">
        <v>44984</v>
      </c>
      <c r="E33" s="4">
        <v>2023</v>
      </c>
      <c r="F33" s="5" t="s">
        <v>12</v>
      </c>
      <c r="G33" s="5">
        <v>1</v>
      </c>
      <c r="H33" s="2">
        <v>969800</v>
      </c>
      <c r="I33" s="12">
        <f t="shared" si="52"/>
        <v>3879.2</v>
      </c>
      <c r="J33" s="18">
        <v>200</v>
      </c>
      <c r="K33" s="10">
        <f t="shared" si="56"/>
        <v>4849</v>
      </c>
      <c r="L33" s="14">
        <f t="shared" si="57"/>
        <v>4</v>
      </c>
      <c r="M33" s="10">
        <f t="shared" si="58"/>
        <v>19396</v>
      </c>
      <c r="N33" s="16">
        <f t="shared" si="38"/>
        <v>1.3333333333333333</v>
      </c>
      <c r="O33" s="10">
        <f t="shared" si="39"/>
        <v>6465.333333333333</v>
      </c>
      <c r="P33" s="5" t="s">
        <v>10</v>
      </c>
    </row>
    <row r="34" spans="1:16" x14ac:dyDescent="0.25">
      <c r="A34" s="5" t="s">
        <v>26</v>
      </c>
      <c r="B34" s="5" t="s">
        <v>5</v>
      </c>
      <c r="C34" s="5">
        <v>60</v>
      </c>
      <c r="D34" s="11">
        <v>44881</v>
      </c>
      <c r="E34" s="8">
        <v>2022</v>
      </c>
      <c r="F34" s="5" t="s">
        <v>20</v>
      </c>
      <c r="G34" s="4">
        <v>1</v>
      </c>
      <c r="H34" s="9">
        <v>987000</v>
      </c>
      <c r="I34" s="12">
        <f t="shared" si="52"/>
        <v>3948</v>
      </c>
      <c r="J34" s="18">
        <v>270</v>
      </c>
      <c r="K34" s="10">
        <f t="shared" si="56"/>
        <v>3655.5555555555557</v>
      </c>
      <c r="L34" s="14">
        <f t="shared" si="57"/>
        <v>4.5</v>
      </c>
      <c r="M34" s="10">
        <f t="shared" si="58"/>
        <v>16450</v>
      </c>
      <c r="N34" s="16">
        <f t="shared" si="38"/>
        <v>1.5</v>
      </c>
      <c r="O34" s="10">
        <f t="shared" si="39"/>
        <v>5483.3333333333339</v>
      </c>
      <c r="P34" s="5" t="s">
        <v>10</v>
      </c>
    </row>
    <row r="35" spans="1:16" x14ac:dyDescent="0.25">
      <c r="A35" s="5" t="s">
        <v>25</v>
      </c>
      <c r="B35" s="5" t="s">
        <v>5</v>
      </c>
      <c r="C35" s="5">
        <v>60</v>
      </c>
      <c r="D35" s="11">
        <v>44827</v>
      </c>
      <c r="E35" s="8">
        <v>2022</v>
      </c>
      <c r="F35" s="5" t="s">
        <v>18</v>
      </c>
      <c r="G35" s="4">
        <v>1</v>
      </c>
      <c r="H35" s="9">
        <v>1067000</v>
      </c>
      <c r="I35" s="12">
        <f t="shared" si="52"/>
        <v>4268</v>
      </c>
      <c r="J35" s="18">
        <v>270</v>
      </c>
      <c r="K35" s="10">
        <f t="shared" si="56"/>
        <v>3951.8518518518517</v>
      </c>
      <c r="L35" s="14">
        <f t="shared" si="57"/>
        <v>4.5</v>
      </c>
      <c r="M35" s="10">
        <f t="shared" si="58"/>
        <v>17783.333333333332</v>
      </c>
      <c r="N35" s="16">
        <f t="shared" si="38"/>
        <v>1.5</v>
      </c>
      <c r="O35" s="10">
        <f t="shared" si="39"/>
        <v>5927.7777777777774</v>
      </c>
      <c r="P35" s="5" t="s">
        <v>10</v>
      </c>
    </row>
    <row r="36" spans="1:16" x14ac:dyDescent="0.25">
      <c r="A36" s="5" t="s">
        <v>24</v>
      </c>
      <c r="B36" s="5" t="s">
        <v>5</v>
      </c>
      <c r="C36" s="5">
        <v>60</v>
      </c>
      <c r="D36" s="11">
        <v>44765</v>
      </c>
      <c r="E36" s="8">
        <v>2022</v>
      </c>
      <c r="F36" s="5" t="s">
        <v>16</v>
      </c>
      <c r="G36" s="4">
        <v>1</v>
      </c>
      <c r="H36" s="9">
        <v>1058400</v>
      </c>
      <c r="I36" s="12">
        <f t="shared" si="52"/>
        <v>4233.6000000000004</v>
      </c>
      <c r="J36" s="18">
        <v>270</v>
      </c>
      <c r="K36" s="10">
        <f t="shared" si="56"/>
        <v>3920</v>
      </c>
      <c r="L36" s="14">
        <f t="shared" si="57"/>
        <v>4.5</v>
      </c>
      <c r="M36" s="10">
        <f t="shared" si="58"/>
        <v>17640</v>
      </c>
      <c r="N36" s="16">
        <f t="shared" si="38"/>
        <v>1.5</v>
      </c>
      <c r="O36" s="10">
        <f t="shared" si="39"/>
        <v>5880</v>
      </c>
      <c r="P36" s="5" t="s">
        <v>10</v>
      </c>
    </row>
    <row r="37" spans="1:16" x14ac:dyDescent="0.25">
      <c r="A37" s="5" t="s">
        <v>23</v>
      </c>
      <c r="B37" s="5" t="s">
        <v>5</v>
      </c>
      <c r="C37" s="5">
        <v>30</v>
      </c>
      <c r="D37" s="7">
        <v>44714</v>
      </c>
      <c r="E37" s="8">
        <v>2022</v>
      </c>
      <c r="F37" s="5" t="s">
        <v>15</v>
      </c>
      <c r="G37" s="4">
        <v>1</v>
      </c>
      <c r="H37" s="9">
        <v>513000</v>
      </c>
      <c r="I37" s="12">
        <f t="shared" si="52"/>
        <v>2052</v>
      </c>
      <c r="J37" s="18">
        <v>135</v>
      </c>
      <c r="K37" s="10">
        <f t="shared" si="56"/>
        <v>3800</v>
      </c>
      <c r="L37" s="14">
        <f t="shared" si="57"/>
        <v>4.5</v>
      </c>
      <c r="M37" s="10">
        <f t="shared" si="58"/>
        <v>17100</v>
      </c>
      <c r="N37" s="16">
        <f t="shared" si="38"/>
        <v>1.5</v>
      </c>
      <c r="O37" s="10">
        <f t="shared" si="39"/>
        <v>5700</v>
      </c>
      <c r="P37" s="5" t="s">
        <v>10</v>
      </c>
    </row>
    <row r="38" spans="1:16" x14ac:dyDescent="0.25">
      <c r="A38" s="5" t="s">
        <v>22</v>
      </c>
      <c r="B38" s="5" t="s">
        <v>5</v>
      </c>
      <c r="C38" s="5">
        <v>50</v>
      </c>
      <c r="D38" s="7">
        <v>44652</v>
      </c>
      <c r="E38" s="8">
        <v>2022</v>
      </c>
      <c r="F38" s="5" t="s">
        <v>13</v>
      </c>
      <c r="G38" s="4">
        <v>1</v>
      </c>
      <c r="H38" s="9">
        <v>807087</v>
      </c>
      <c r="I38" s="12">
        <f t="shared" si="52"/>
        <v>3228.348</v>
      </c>
      <c r="J38" s="18">
        <v>200</v>
      </c>
      <c r="K38" s="10">
        <f t="shared" si="56"/>
        <v>4035.4349999999999</v>
      </c>
      <c r="L38" s="14">
        <f t="shared" si="57"/>
        <v>4</v>
      </c>
      <c r="M38" s="10">
        <f t="shared" si="58"/>
        <v>16141.74</v>
      </c>
      <c r="N38" s="16">
        <f t="shared" si="38"/>
        <v>1.3333333333333333</v>
      </c>
      <c r="O38" s="10">
        <f t="shared" si="39"/>
        <v>5380.58</v>
      </c>
      <c r="P38" s="5" t="s">
        <v>10</v>
      </c>
    </row>
    <row r="39" spans="1:16" x14ac:dyDescent="0.25">
      <c r="A39" s="5" t="s">
        <v>7</v>
      </c>
      <c r="B39" s="5" t="s">
        <v>5</v>
      </c>
      <c r="C39" s="5">
        <v>50</v>
      </c>
      <c r="D39" s="7">
        <v>44562</v>
      </c>
      <c r="E39" s="4">
        <v>2022</v>
      </c>
      <c r="F39" s="8" t="s">
        <v>11</v>
      </c>
      <c r="G39" s="4">
        <v>1</v>
      </c>
      <c r="H39" s="9">
        <v>809112</v>
      </c>
      <c r="I39" s="12">
        <f t="shared" si="52"/>
        <v>3236.4479999999999</v>
      </c>
      <c r="J39" s="18">
        <v>200</v>
      </c>
      <c r="K39" s="10">
        <f t="shared" si="56"/>
        <v>4045.56</v>
      </c>
      <c r="L39" s="14">
        <f t="shared" si="57"/>
        <v>4</v>
      </c>
      <c r="M39" s="10">
        <f t="shared" si="58"/>
        <v>16182.24</v>
      </c>
      <c r="N39" s="16">
        <f t="shared" si="38"/>
        <v>1.3333333333333333</v>
      </c>
      <c r="O39" s="10">
        <f t="shared" si="39"/>
        <v>5394.08</v>
      </c>
      <c r="P39" s="5" t="s">
        <v>10</v>
      </c>
    </row>
    <row r="40" spans="1:16" x14ac:dyDescent="0.25">
      <c r="A40" s="5"/>
    </row>
    <row r="41" spans="1:16" x14ac:dyDescent="0.25">
      <c r="A41" s="5"/>
    </row>
  </sheetData>
  <phoneticPr fontId="6" type="noConversion"/>
  <conditionalFormatting sqref="A1:A1048576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56D793D67F3A4AB4D20CB959B266D0" ma:contentTypeVersion="4" ma:contentTypeDescription="Crear nuevo documento." ma:contentTypeScope="" ma:versionID="611cbbdf845c335450ec9b7cdf8f72d0">
  <xsd:schema xmlns:xsd="http://www.w3.org/2001/XMLSchema" xmlns:xs="http://www.w3.org/2001/XMLSchema" xmlns:p="http://schemas.microsoft.com/office/2006/metadata/properties" xmlns:ns2="e60ade56-7937-4eb3-b7cb-7c910e6c4f1d" targetNamespace="http://schemas.microsoft.com/office/2006/metadata/properties" ma:root="true" ma:fieldsID="5075560efe3ecab5a63ed19ae1c721bf" ns2:_="">
    <xsd:import namespace="e60ade56-7937-4eb3-b7cb-7c910e6c4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0ade56-7937-4eb3-b7cb-7c910e6c4f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0E9175-1327-4F7D-BD6D-90BBD3E8F8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0ade56-7937-4eb3-b7cb-7c910e6c4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20D2E1-3CDC-4AD2-B2DF-A7E51DB887D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4DE0541-9D3F-44E5-A2AC-C233CCF331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Costo Pantalla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Vladimir Escobar Diaz</cp:lastModifiedBy>
  <dcterms:created xsi:type="dcterms:W3CDTF">2019-06-27T11:44:07Z</dcterms:created>
  <dcterms:modified xsi:type="dcterms:W3CDTF">2026-06-07T01:31:37Z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0x010100A456D793D67F3A4AB4D20CB959B266D0</vt:lpwstr>
  </property>
</Properties>
</file>