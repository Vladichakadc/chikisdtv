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kisdTV\Tablas\"/>
    </mc:Choice>
  </mc:AlternateContent>
  <xr:revisionPtr revIDLastSave="0" documentId="13_ncr:1_{8E818426-E9BD-41C9-A058-B8A0DD699BCC}" xr6:coauthVersionLast="47" xr6:coauthVersionMax="47" xr10:uidLastSave="{00000000-0000-0000-0000-000000000000}"/>
  <bookViews>
    <workbookView xWindow="-28920" yWindow="1740" windowWidth="29040" windowHeight="15720" xr2:uid="{00000000-000D-0000-FFFF-FFFF00000000}"/>
  </bookViews>
  <sheets>
    <sheet name="Venta Fire TV" sheetId="1" r:id="rId1"/>
  </sheets>
  <externalReferences>
    <externalReference r:id="rId2"/>
    <externalReference r:id="rId3"/>
  </externalReferences>
  <definedNames>
    <definedName name="_xlnm._FilterDatabase" localSheetId="0" hidden="1">'Venta Fire TV'!$A$1:$M$200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2" i="1" l="1"/>
  <c r="F11" i="1"/>
  <c r="M13" i="1"/>
  <c r="M14" i="1"/>
  <c r="M15" i="1"/>
  <c r="M16" i="1"/>
  <c r="M17" i="1"/>
  <c r="M18" i="1" l="1"/>
  <c r="M19" i="1"/>
  <c r="M20" i="1"/>
  <c r="M21" i="1"/>
  <c r="M22" i="1"/>
  <c r="M90" i="1"/>
  <c r="M56" i="1"/>
  <c r="M43" i="1"/>
  <c r="M23" i="1"/>
  <c r="M24" i="1"/>
  <c r="M27" i="1"/>
  <c r="M26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4" i="1"/>
  <c r="M45" i="1"/>
  <c r="M46" i="1"/>
  <c r="M47" i="1"/>
  <c r="M48" i="1"/>
  <c r="M49" i="1"/>
  <c r="M50" i="1"/>
  <c r="M51" i="1"/>
  <c r="M52" i="1"/>
  <c r="M53" i="1"/>
  <c r="M54" i="1"/>
  <c r="M55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9" i="1"/>
  <c r="M120" i="1"/>
  <c r="M118" i="1"/>
  <c r="M121" i="1"/>
  <c r="M122" i="1"/>
  <c r="M123" i="1"/>
  <c r="M124" i="1"/>
  <c r="M125" i="1"/>
  <c r="M126" i="1"/>
  <c r="M127" i="1"/>
  <c r="M128" i="1"/>
  <c r="M129" i="1"/>
  <c r="M130" i="1"/>
  <c r="M131" i="1"/>
  <c r="M133" i="1"/>
  <c r="M134" i="1"/>
  <c r="M135" i="1"/>
  <c r="M136" i="1"/>
  <c r="M132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9" i="1"/>
  <c r="M178" i="1"/>
  <c r="M180" i="1"/>
  <c r="M182" i="1"/>
  <c r="M181" i="1"/>
  <c r="M183" i="1"/>
  <c r="M184" i="1"/>
  <c r="M187" i="1"/>
  <c r="M185" i="1"/>
  <c r="M186" i="1"/>
  <c r="M193" i="1"/>
  <c r="M190" i="1"/>
  <c r="M191" i="1"/>
  <c r="M192" i="1"/>
  <c r="M188" i="1"/>
  <c r="M189" i="1"/>
  <c r="M195" i="1"/>
  <c r="M197" i="1"/>
  <c r="M194" i="1"/>
  <c r="M196" i="1"/>
  <c r="M198" i="1"/>
  <c r="M199" i="1"/>
  <c r="M200" i="1"/>
  <c r="M25" i="1"/>
</calcChain>
</file>

<file path=xl/sharedStrings.xml><?xml version="1.0" encoding="utf-8"?>
<sst xmlns="http://schemas.openxmlformats.org/spreadsheetml/2006/main" count="1623" uniqueCount="544">
  <si>
    <t>Item_Quantity</t>
  </si>
  <si>
    <t>Customer_id</t>
  </si>
  <si>
    <t>041</t>
  </si>
  <si>
    <t>082</t>
  </si>
  <si>
    <t>086</t>
  </si>
  <si>
    <t>127</t>
  </si>
  <si>
    <t>Accion</t>
  </si>
  <si>
    <t>SKU</t>
  </si>
  <si>
    <t>0014K</t>
  </si>
  <si>
    <t>003HD</t>
  </si>
  <si>
    <t>004LT</t>
  </si>
  <si>
    <t xml:space="preserve">Fecha </t>
  </si>
  <si>
    <t>Nickname</t>
  </si>
  <si>
    <t>Cristian Bernal 4K</t>
  </si>
  <si>
    <t>Harry 1 JP</t>
  </si>
  <si>
    <t>Ivan Brijaldo Lite</t>
  </si>
  <si>
    <t>Maria Teresa 4K</t>
  </si>
  <si>
    <t>TIPO DE FIRE</t>
  </si>
  <si>
    <t>Fire TV 4K</t>
  </si>
  <si>
    <t>Fire TV HD</t>
  </si>
  <si>
    <t>Fire TV LITE</t>
  </si>
  <si>
    <t xml:space="preserve">Venta </t>
  </si>
  <si>
    <t>Precio Venta Firetv</t>
  </si>
  <si>
    <t>Año</t>
  </si>
  <si>
    <t>Mes</t>
  </si>
  <si>
    <t>Enero</t>
  </si>
  <si>
    <t xml:space="preserve">Costo </t>
  </si>
  <si>
    <t>044</t>
  </si>
  <si>
    <t>092</t>
  </si>
  <si>
    <t>096</t>
  </si>
  <si>
    <t>101</t>
  </si>
  <si>
    <t>108</t>
  </si>
  <si>
    <t>117</t>
  </si>
  <si>
    <t>Ivan Correa Jan 4K</t>
  </si>
  <si>
    <t>Laura Gonzales Jan H4K</t>
  </si>
  <si>
    <t>Viviana Gomez Jan 4K</t>
  </si>
  <si>
    <t>Jhon Garzon4K</t>
  </si>
  <si>
    <t>Jorge AlmoFireTV 4K</t>
  </si>
  <si>
    <t>Juan Felipe</t>
  </si>
  <si>
    <t>Leo2 4K (Laura)</t>
  </si>
  <si>
    <t>Febrero</t>
  </si>
  <si>
    <t>013</t>
  </si>
  <si>
    <t>A Chirinos 4K</t>
  </si>
  <si>
    <t>A Chirinos FireTV HD</t>
  </si>
  <si>
    <t>Marzo</t>
  </si>
  <si>
    <t>027</t>
  </si>
  <si>
    <t>076</t>
  </si>
  <si>
    <t>102</t>
  </si>
  <si>
    <t>118</t>
  </si>
  <si>
    <t>146</t>
  </si>
  <si>
    <t>0024KMAX</t>
  </si>
  <si>
    <t>Fire TV 4KMAX</t>
  </si>
  <si>
    <t>Andres chiri ven 1 lite</t>
  </si>
  <si>
    <t>Andres chiri ven 2 lite</t>
  </si>
  <si>
    <t>Carlos Bernal 1</t>
  </si>
  <si>
    <t>Jan (Amigo de Stefania)</t>
  </si>
  <si>
    <t>Lino porteroFireTV HD</t>
  </si>
  <si>
    <t>Niño 2 4k</t>
  </si>
  <si>
    <t>Lucia4K max</t>
  </si>
  <si>
    <t>Nilson Mechas FireTV HD</t>
  </si>
  <si>
    <t>Abril</t>
  </si>
  <si>
    <t>Mayo</t>
  </si>
  <si>
    <t>001</t>
  </si>
  <si>
    <t>045</t>
  </si>
  <si>
    <t>Adriana Garzon 1</t>
  </si>
  <si>
    <t>Adriana Garzon 2</t>
  </si>
  <si>
    <t>Adriana Garzon 3</t>
  </si>
  <si>
    <t>Daniela 6 (Fernando)</t>
  </si>
  <si>
    <t>Jan solo FireTV HD</t>
  </si>
  <si>
    <t>011</t>
  </si>
  <si>
    <t>062</t>
  </si>
  <si>
    <t>163</t>
  </si>
  <si>
    <t>Alvaro Lopez lite</t>
  </si>
  <si>
    <t>Daniela 7 (Omar)</t>
  </si>
  <si>
    <t>Pipe 2 HD</t>
  </si>
  <si>
    <t>Ruben 2FireTV 4K</t>
  </si>
  <si>
    <t>Junio</t>
  </si>
  <si>
    <t>018</t>
  </si>
  <si>
    <t>053</t>
  </si>
  <si>
    <t>083</t>
  </si>
  <si>
    <t>119</t>
  </si>
  <si>
    <t>122</t>
  </si>
  <si>
    <t>Andres Duque</t>
  </si>
  <si>
    <t>Carlos Bernal 2</t>
  </si>
  <si>
    <t>Daniela 8 4K (Sonia)</t>
  </si>
  <si>
    <t>Daniela 9 4K (Jaime)</t>
  </si>
  <si>
    <t>Diana Rojas 2 4K</t>
  </si>
  <si>
    <t>Diana Rojas 3 4K</t>
  </si>
  <si>
    <t>Harry 2</t>
  </si>
  <si>
    <t>Carlos Lopera 4k</t>
  </si>
  <si>
    <t>Lucia 4K max 2</t>
  </si>
  <si>
    <t>Gonzalo Peña 4K+</t>
  </si>
  <si>
    <t>Marce - lucia</t>
  </si>
  <si>
    <t>Julio</t>
  </si>
  <si>
    <t>038</t>
  </si>
  <si>
    <t>055</t>
  </si>
  <si>
    <t>084</t>
  </si>
  <si>
    <t>134</t>
  </si>
  <si>
    <t>170</t>
  </si>
  <si>
    <t>Adriana Garzon 4</t>
  </si>
  <si>
    <t>Ciro Diaz(Andres Duque)</t>
  </si>
  <si>
    <t>Diego Neiv</t>
  </si>
  <si>
    <t>Hernan Coro Neiv</t>
  </si>
  <si>
    <t>Alexa Postobon</t>
  </si>
  <si>
    <t>Jose Postobon</t>
  </si>
  <si>
    <t>Mama Leidy</t>
  </si>
  <si>
    <t>Tio Stefania</t>
  </si>
  <si>
    <t xml:space="preserve">Vannesa Solano 1 </t>
  </si>
  <si>
    <t>Vannesa Solano 2</t>
  </si>
  <si>
    <t>Agosto</t>
  </si>
  <si>
    <t>Alex Brijaldo</t>
  </si>
  <si>
    <t>Daniela11 (Claudia)</t>
  </si>
  <si>
    <t>Mauricio Postobon</t>
  </si>
  <si>
    <t>Vanessa Postobon</t>
  </si>
  <si>
    <t>016</t>
  </si>
  <si>
    <t>Septiembre</t>
  </si>
  <si>
    <t>Id_vnta</t>
  </si>
  <si>
    <t>VF1</t>
  </si>
  <si>
    <t>VF2</t>
  </si>
  <si>
    <t>VF3</t>
  </si>
  <si>
    <t>VF4</t>
  </si>
  <si>
    <t>VF5</t>
  </si>
  <si>
    <t>VF6</t>
  </si>
  <si>
    <t>VF7</t>
  </si>
  <si>
    <t>VF8</t>
  </si>
  <si>
    <t>VF9</t>
  </si>
  <si>
    <t>VF10</t>
  </si>
  <si>
    <t>VF11</t>
  </si>
  <si>
    <t>VF12</t>
  </si>
  <si>
    <t>VF13</t>
  </si>
  <si>
    <t>VF14</t>
  </si>
  <si>
    <t>VF15</t>
  </si>
  <si>
    <t>VF16</t>
  </si>
  <si>
    <t>VF17</t>
  </si>
  <si>
    <t>VF18</t>
  </si>
  <si>
    <t>VF19</t>
  </si>
  <si>
    <t>VF20</t>
  </si>
  <si>
    <t>VF21</t>
  </si>
  <si>
    <t>VF22</t>
  </si>
  <si>
    <t>VF23</t>
  </si>
  <si>
    <t>VF24</t>
  </si>
  <si>
    <t>VF25</t>
  </si>
  <si>
    <t>VF26</t>
  </si>
  <si>
    <t>VF27</t>
  </si>
  <si>
    <t>VF28</t>
  </si>
  <si>
    <t>VF29</t>
  </si>
  <si>
    <t>VF30</t>
  </si>
  <si>
    <t>VF31</t>
  </si>
  <si>
    <t>VF32</t>
  </si>
  <si>
    <t>VF33</t>
  </si>
  <si>
    <t>VF34</t>
  </si>
  <si>
    <t>VF35</t>
  </si>
  <si>
    <t>VF36</t>
  </si>
  <si>
    <t>VF37</t>
  </si>
  <si>
    <t>VF38</t>
  </si>
  <si>
    <t>VF39</t>
  </si>
  <si>
    <t>VF40</t>
  </si>
  <si>
    <t>VF41</t>
  </si>
  <si>
    <t>VF42</t>
  </si>
  <si>
    <t>VF43</t>
  </si>
  <si>
    <t>VF44</t>
  </si>
  <si>
    <t>VF45</t>
  </si>
  <si>
    <t>VF46</t>
  </si>
  <si>
    <t>VF47</t>
  </si>
  <si>
    <t>VF48</t>
  </si>
  <si>
    <t>VF49</t>
  </si>
  <si>
    <t>VF50</t>
  </si>
  <si>
    <t>VF51</t>
  </si>
  <si>
    <t>VF52</t>
  </si>
  <si>
    <t>VF53</t>
  </si>
  <si>
    <t>VF54</t>
  </si>
  <si>
    <t>VF55</t>
  </si>
  <si>
    <t>VF56</t>
  </si>
  <si>
    <t>VF57</t>
  </si>
  <si>
    <t>VF58</t>
  </si>
  <si>
    <t>VF59</t>
  </si>
  <si>
    <t>VF60</t>
  </si>
  <si>
    <t>VF61</t>
  </si>
  <si>
    <t xml:space="preserve">Devolucion </t>
  </si>
  <si>
    <t>Repuesto Lite (Repuesto)</t>
  </si>
  <si>
    <t>030</t>
  </si>
  <si>
    <t>071</t>
  </si>
  <si>
    <t>077</t>
  </si>
  <si>
    <t>Carlos Rami Merlo 3 lite</t>
  </si>
  <si>
    <t>Daniela 3FireTV HD</t>
  </si>
  <si>
    <t>Daniela1 FireTV HD</t>
  </si>
  <si>
    <t>Daniela2FireTV HD</t>
  </si>
  <si>
    <t>German MechasFireTV 4k</t>
  </si>
  <si>
    <t>Guillemo ace4K</t>
  </si>
  <si>
    <t>Nilson cuñado FireTV 4K</t>
  </si>
  <si>
    <t>Ruben 1FireTV 4K</t>
  </si>
  <si>
    <t>029</t>
  </si>
  <si>
    <t>033</t>
  </si>
  <si>
    <t>094</t>
  </si>
  <si>
    <t>VF63</t>
  </si>
  <si>
    <t>VF64</t>
  </si>
  <si>
    <t>VF65</t>
  </si>
  <si>
    <t>VF66</t>
  </si>
  <si>
    <t>VF67</t>
  </si>
  <si>
    <t>VF68</t>
  </si>
  <si>
    <t>VF69</t>
  </si>
  <si>
    <t>VF70</t>
  </si>
  <si>
    <t>VF71</t>
  </si>
  <si>
    <t>VF72</t>
  </si>
  <si>
    <t>VF73</t>
  </si>
  <si>
    <t>VF74</t>
  </si>
  <si>
    <t>Merlo 3 FireTV 4k</t>
  </si>
  <si>
    <t>Merlo 4 FireTV lite</t>
  </si>
  <si>
    <t>Caro2FireTV 4k</t>
  </si>
  <si>
    <t>Javier rengifoFireTV lite</t>
  </si>
  <si>
    <t>087</t>
  </si>
  <si>
    <t>Ivan 2 FireTV 4k</t>
  </si>
  <si>
    <t>VF75</t>
  </si>
  <si>
    <t>sandrita SENA FireTV 4K</t>
  </si>
  <si>
    <t>VF76</t>
  </si>
  <si>
    <t>164</t>
  </si>
  <si>
    <t>VF77</t>
  </si>
  <si>
    <t>VF78</t>
  </si>
  <si>
    <t>002</t>
  </si>
  <si>
    <t>Adriana4k</t>
  </si>
  <si>
    <t>Daniela 4 fire tv lite</t>
  </si>
  <si>
    <t>005</t>
  </si>
  <si>
    <t>048</t>
  </si>
  <si>
    <t>121</t>
  </si>
  <si>
    <t>141</t>
  </si>
  <si>
    <t>166</t>
  </si>
  <si>
    <t>Alexandra Marin4k</t>
  </si>
  <si>
    <t>David Vargas4k</t>
  </si>
  <si>
    <t>Luz sandra4k</t>
  </si>
  <si>
    <t>Miguel Duarte cuñ adr4k</t>
  </si>
  <si>
    <t>Doctor Jefe4k</t>
  </si>
  <si>
    <t>VF79</t>
  </si>
  <si>
    <t>VF80</t>
  </si>
  <si>
    <t>VF81</t>
  </si>
  <si>
    <t>VF82</t>
  </si>
  <si>
    <t>VF83</t>
  </si>
  <si>
    <t>036</t>
  </si>
  <si>
    <t>129</t>
  </si>
  <si>
    <t>VF84</t>
  </si>
  <si>
    <t>VF85</t>
  </si>
  <si>
    <t>Cecilia lite</t>
  </si>
  <si>
    <t>Mario Matiz4 4k</t>
  </si>
  <si>
    <t>Alfonso 4k</t>
  </si>
  <si>
    <t>Betty lite</t>
  </si>
  <si>
    <t>Javier W Diaz 2</t>
  </si>
  <si>
    <t>VF86</t>
  </si>
  <si>
    <t>VF87</t>
  </si>
  <si>
    <t>VF88</t>
  </si>
  <si>
    <t>010</t>
  </si>
  <si>
    <t>023</t>
  </si>
  <si>
    <t>095</t>
  </si>
  <si>
    <t>026</t>
  </si>
  <si>
    <t>Kaleth4k</t>
  </si>
  <si>
    <t>Diana Rojas4K</t>
  </si>
  <si>
    <t>Jan Garcia4K</t>
  </si>
  <si>
    <t>leoRojas4K</t>
  </si>
  <si>
    <t>VF89</t>
  </si>
  <si>
    <t>VF90</t>
  </si>
  <si>
    <t>VF91</t>
  </si>
  <si>
    <t>VF92</t>
  </si>
  <si>
    <t>Octubre</t>
  </si>
  <si>
    <t>056</t>
  </si>
  <si>
    <t>157</t>
  </si>
  <si>
    <t>Dysney 4K max</t>
  </si>
  <si>
    <t>Jan 2 HD</t>
  </si>
  <si>
    <t>Ricardo Peña4K</t>
  </si>
  <si>
    <t>VF93</t>
  </si>
  <si>
    <t>VF94</t>
  </si>
  <si>
    <t>VF95</t>
  </si>
  <si>
    <t>Noviembre</t>
  </si>
  <si>
    <t>079</t>
  </si>
  <si>
    <t>090</t>
  </si>
  <si>
    <t>128</t>
  </si>
  <si>
    <t>133</t>
  </si>
  <si>
    <t>149</t>
  </si>
  <si>
    <t>VF96</t>
  </si>
  <si>
    <t>VF97</t>
  </si>
  <si>
    <t>VF98</t>
  </si>
  <si>
    <t>VF99</t>
  </si>
  <si>
    <t>VF100</t>
  </si>
  <si>
    <t>VF101</t>
  </si>
  <si>
    <t>Don Gus 4K</t>
  </si>
  <si>
    <t>Rosemary James 2 HD</t>
  </si>
  <si>
    <t>Jan3 Demo 4K</t>
  </si>
  <si>
    <t>Mario Ortiz4K</t>
  </si>
  <si>
    <t>Mauricio Bonilla4K</t>
  </si>
  <si>
    <t>Oscar EscobarHD</t>
  </si>
  <si>
    <t>Diciembre</t>
  </si>
  <si>
    <t>Adriana Hermano 4K max</t>
  </si>
  <si>
    <t>Kaleth2 4K</t>
  </si>
  <si>
    <t>ElizabethHD</t>
  </si>
  <si>
    <t>Lucia 4K max</t>
  </si>
  <si>
    <t>Ricardo Peña 2 4K</t>
  </si>
  <si>
    <t>Ricardo Peña 3 4K max</t>
  </si>
  <si>
    <t>058</t>
  </si>
  <si>
    <t>VF102</t>
  </si>
  <si>
    <t>VF103</t>
  </si>
  <si>
    <t>VF104</t>
  </si>
  <si>
    <t>VF105</t>
  </si>
  <si>
    <t>VF106</t>
  </si>
  <si>
    <t>VF107</t>
  </si>
  <si>
    <t>VF108</t>
  </si>
  <si>
    <t>VF111</t>
  </si>
  <si>
    <t>VF112</t>
  </si>
  <si>
    <t>VF113</t>
  </si>
  <si>
    <t>VF114</t>
  </si>
  <si>
    <t>VF115</t>
  </si>
  <si>
    <t>VF116</t>
  </si>
  <si>
    <t>VF117</t>
  </si>
  <si>
    <t>VF118</t>
  </si>
  <si>
    <t>VF119</t>
  </si>
  <si>
    <t>VF120</t>
  </si>
  <si>
    <t>VF121</t>
  </si>
  <si>
    <t>Kike 4K</t>
  </si>
  <si>
    <t>pipe 4K</t>
  </si>
  <si>
    <t>Jodman LITE</t>
  </si>
  <si>
    <t>Mery 3G</t>
  </si>
  <si>
    <t>Rodrigo 1 4k</t>
  </si>
  <si>
    <t>Rodrigo 2 _4k</t>
  </si>
  <si>
    <t>xiomy 4K</t>
  </si>
  <si>
    <t>061</t>
  </si>
  <si>
    <t>100</t>
  </si>
  <si>
    <t>138</t>
  </si>
  <si>
    <t>160</t>
  </si>
  <si>
    <t>173</t>
  </si>
  <si>
    <t>064</t>
  </si>
  <si>
    <t>091</t>
  </si>
  <si>
    <t>167</t>
  </si>
  <si>
    <t>171</t>
  </si>
  <si>
    <t>FerminDiaz</t>
  </si>
  <si>
    <t>JamesUribe</t>
  </si>
  <si>
    <t>Silvia Moyano</t>
  </si>
  <si>
    <t>WilliamGuzman</t>
  </si>
  <si>
    <t>VF122</t>
  </si>
  <si>
    <t>VF123</t>
  </si>
  <si>
    <t>VF124</t>
  </si>
  <si>
    <t>VF125</t>
  </si>
  <si>
    <t>VF126</t>
  </si>
  <si>
    <t>VF127</t>
  </si>
  <si>
    <t>VF128</t>
  </si>
  <si>
    <t>VF129</t>
  </si>
  <si>
    <t>VF130</t>
  </si>
  <si>
    <t>VF131</t>
  </si>
  <si>
    <t>093</t>
  </si>
  <si>
    <t>174</t>
  </si>
  <si>
    <t>Carolina4k 3gen</t>
  </si>
  <si>
    <t>Tintin4k 3gen</t>
  </si>
  <si>
    <t>Jolmanve_4k 3gen</t>
  </si>
  <si>
    <t>Sandrita 4Kgen</t>
  </si>
  <si>
    <t>Gimena 4k 2gen</t>
  </si>
  <si>
    <t>Casallas 4k 2gen 1-2</t>
  </si>
  <si>
    <t>Harold rita-iba 2 fire 4K</t>
  </si>
  <si>
    <t>074</t>
  </si>
  <si>
    <t>135</t>
  </si>
  <si>
    <t>159</t>
  </si>
  <si>
    <t>Merlo lite</t>
  </si>
  <si>
    <t>Iván 4kmax</t>
  </si>
  <si>
    <t>Niño HD</t>
  </si>
  <si>
    <t>Aleja</t>
  </si>
  <si>
    <t>Alejo - Merlo 3 lite</t>
  </si>
  <si>
    <t>Alejo 2 - Merlo lite</t>
  </si>
  <si>
    <t>Arturo ser 4k</t>
  </si>
  <si>
    <t xml:space="preserve">Jacobo-willy 3 4K </t>
  </si>
  <si>
    <t>003</t>
  </si>
  <si>
    <t>006</t>
  </si>
  <si>
    <t>022</t>
  </si>
  <si>
    <t>088</t>
  </si>
  <si>
    <t>VF132</t>
  </si>
  <si>
    <t>VF133</t>
  </si>
  <si>
    <t>VF134</t>
  </si>
  <si>
    <t>VF135</t>
  </si>
  <si>
    <t>Harold 3 LITE</t>
  </si>
  <si>
    <t>Javier Saldaña 2</t>
  </si>
  <si>
    <t>Michelle Lite</t>
  </si>
  <si>
    <t>Suegra Sangra  4k</t>
  </si>
  <si>
    <t>081</t>
  </si>
  <si>
    <t>139</t>
  </si>
  <si>
    <t>VF136</t>
  </si>
  <si>
    <t>VF137</t>
  </si>
  <si>
    <t>VF138</t>
  </si>
  <si>
    <t>VF139</t>
  </si>
  <si>
    <t>VF140</t>
  </si>
  <si>
    <t>VF141</t>
  </si>
  <si>
    <t>VF142</t>
  </si>
  <si>
    <t>VF143</t>
  </si>
  <si>
    <t>Mario Matiz 3 4k</t>
  </si>
  <si>
    <t>VF144</t>
  </si>
  <si>
    <t>VF145</t>
  </si>
  <si>
    <t>VF146</t>
  </si>
  <si>
    <t>VF147</t>
  </si>
  <si>
    <t>VF148</t>
  </si>
  <si>
    <t>VF149</t>
  </si>
  <si>
    <t>VF150</t>
  </si>
  <si>
    <t>VF151</t>
  </si>
  <si>
    <t>031</t>
  </si>
  <si>
    <t>098</t>
  </si>
  <si>
    <t>162</t>
  </si>
  <si>
    <t>168</t>
  </si>
  <si>
    <t>Carlos A Cardenas HD</t>
  </si>
  <si>
    <t>jhon vargas4K</t>
  </si>
  <si>
    <t>Papa de ronald4K</t>
  </si>
  <si>
    <t>Stiven 4k</t>
  </si>
  <si>
    <t>Juan Jose24K</t>
  </si>
  <si>
    <t>Juan Jose4K</t>
  </si>
  <si>
    <t>lucia4K</t>
  </si>
  <si>
    <t>Ronald 4k</t>
  </si>
  <si>
    <t>109</t>
  </si>
  <si>
    <t>VF152</t>
  </si>
  <si>
    <t>VF153</t>
  </si>
  <si>
    <t>VF154</t>
  </si>
  <si>
    <t>VF155</t>
  </si>
  <si>
    <t>VF156</t>
  </si>
  <si>
    <t>VF157</t>
  </si>
  <si>
    <t>VF158</t>
  </si>
  <si>
    <t>VF159</t>
  </si>
  <si>
    <t>Aleja2HD</t>
  </si>
  <si>
    <t>Carlos Galindo4K</t>
  </si>
  <si>
    <t>COY HD</t>
  </si>
  <si>
    <t>Giovannicastro4K</t>
  </si>
  <si>
    <t>Julian Andres iba 4K</t>
  </si>
  <si>
    <t>Mechas4K</t>
  </si>
  <si>
    <t>Néstor Fer LITE</t>
  </si>
  <si>
    <t>Oscar Ramirez4K</t>
  </si>
  <si>
    <t>stiven2HD</t>
  </si>
  <si>
    <t>028</t>
  </si>
  <si>
    <t>057</t>
  </si>
  <si>
    <t>075</t>
  </si>
  <si>
    <t>112</t>
  </si>
  <si>
    <t>116</t>
  </si>
  <si>
    <t>145</t>
  </si>
  <si>
    <t>152</t>
  </si>
  <si>
    <t>CF1</t>
  </si>
  <si>
    <t>124</t>
  </si>
  <si>
    <t>Cortesia</t>
  </si>
  <si>
    <t>MAMA 4k</t>
  </si>
  <si>
    <t>CF2</t>
  </si>
  <si>
    <t>147</t>
  </si>
  <si>
    <t>Suegros Lite</t>
  </si>
  <si>
    <t>Emiliano4k</t>
  </si>
  <si>
    <t>Hoover4K</t>
  </si>
  <si>
    <t>059</t>
  </si>
  <si>
    <t>085</t>
  </si>
  <si>
    <t>VF160</t>
  </si>
  <si>
    <t>VF161</t>
  </si>
  <si>
    <t>VF162</t>
  </si>
  <si>
    <t>VF163</t>
  </si>
  <si>
    <t>VF164</t>
  </si>
  <si>
    <t>DF62</t>
  </si>
  <si>
    <t>VF165</t>
  </si>
  <si>
    <t>Hernan Papa</t>
  </si>
  <si>
    <t>2024</t>
  </si>
  <si>
    <t>176</t>
  </si>
  <si>
    <t>VF166</t>
  </si>
  <si>
    <t>032</t>
  </si>
  <si>
    <t>Carlos Palacio 3 (German)</t>
  </si>
  <si>
    <t>VF167</t>
  </si>
  <si>
    <t>Camilo Charum</t>
  </si>
  <si>
    <t>VF168</t>
  </si>
  <si>
    <t>Ricardo Peña 3</t>
  </si>
  <si>
    <t>VF169</t>
  </si>
  <si>
    <t>Angelica Merlo</t>
  </si>
  <si>
    <t>VF170</t>
  </si>
  <si>
    <t>Carlos Bernal 3</t>
  </si>
  <si>
    <t>VF171</t>
  </si>
  <si>
    <t>Carlos Merlo 5 (Abel R)</t>
  </si>
  <si>
    <t>VF172</t>
  </si>
  <si>
    <t>Jan DEMO</t>
  </si>
  <si>
    <t>VF173</t>
  </si>
  <si>
    <t>Miguel Diaz</t>
  </si>
  <si>
    <t>VF174</t>
  </si>
  <si>
    <t>Ivan Guerrero</t>
  </si>
  <si>
    <t>VF175</t>
  </si>
  <si>
    <t>Mauricio Carrasquilla</t>
  </si>
  <si>
    <t>VF176</t>
  </si>
  <si>
    <t>VF177</t>
  </si>
  <si>
    <t>VF178</t>
  </si>
  <si>
    <t>Miguel Duarte 2</t>
  </si>
  <si>
    <t>2025</t>
  </si>
  <si>
    <t>Alex Roa 1</t>
  </si>
  <si>
    <t>Alex Roa 2</t>
  </si>
  <si>
    <t>Serial</t>
  </si>
  <si>
    <t>German sando Hijo</t>
  </si>
  <si>
    <t>Daniela 10 - (Luz-Stella)</t>
  </si>
  <si>
    <t>Gloria Piñeres</t>
  </si>
  <si>
    <t>Daniel Elkin FireTV HD</t>
  </si>
  <si>
    <t>VF179</t>
  </si>
  <si>
    <t>VF180</t>
  </si>
  <si>
    <t>Andrea Maestre 1</t>
  </si>
  <si>
    <t>Andrea Maestre 2</t>
  </si>
  <si>
    <t>VF181</t>
  </si>
  <si>
    <t>Paola Rojas</t>
  </si>
  <si>
    <t>VF182</t>
  </si>
  <si>
    <t>VF183</t>
  </si>
  <si>
    <t>Ricardo Acropolis</t>
  </si>
  <si>
    <t>Jose Omar Valencia</t>
  </si>
  <si>
    <t>VF184</t>
  </si>
  <si>
    <t>215</t>
  </si>
  <si>
    <t>Jhair Coronado</t>
  </si>
  <si>
    <t>VF185</t>
  </si>
  <si>
    <t>VF186</t>
  </si>
  <si>
    <t xml:space="preserve">Mechas </t>
  </si>
  <si>
    <t xml:space="preserve">Maria Teresa Villegas </t>
  </si>
  <si>
    <t>VF187</t>
  </si>
  <si>
    <t>Daniela 11 (Mauricio M)</t>
  </si>
  <si>
    <t>VF188</t>
  </si>
  <si>
    <t>Cesar Aponte</t>
  </si>
  <si>
    <t>VF189</t>
  </si>
  <si>
    <t>Daniel Rangel</t>
  </si>
  <si>
    <t>VF190</t>
  </si>
  <si>
    <t>VF191</t>
  </si>
  <si>
    <t>Camilo Acevedo 2</t>
  </si>
  <si>
    <t>Fire TV 4K MAX</t>
  </si>
  <si>
    <t>Javier Muñoz 2</t>
  </si>
  <si>
    <t>Carlos Merlo 1</t>
  </si>
  <si>
    <t>Carlos Merlo 6</t>
  </si>
  <si>
    <t>GT52JM04510700WC</t>
  </si>
  <si>
    <t>GT51CQ185176095C</t>
  </si>
  <si>
    <t>GT51CQ1851620H07</t>
  </si>
  <si>
    <t>G4N1CQ1644550QEC</t>
  </si>
  <si>
    <t>G4N2JN0141350BV1</t>
  </si>
  <si>
    <t>G4N2JM024387021G</t>
  </si>
  <si>
    <t>G4N2JN02442306M9</t>
  </si>
  <si>
    <t>Javier W Diaz 1</t>
  </si>
  <si>
    <t>VF192</t>
  </si>
  <si>
    <t>VF193</t>
  </si>
  <si>
    <t>VF194</t>
  </si>
  <si>
    <t>VF195</t>
  </si>
  <si>
    <t>VF196</t>
  </si>
  <si>
    <t>2026</t>
  </si>
  <si>
    <t>Mario Ortiz Unify</t>
  </si>
  <si>
    <t>fine-tv-ch</t>
  </si>
  <si>
    <t>fine001</t>
  </si>
  <si>
    <t>VF197</t>
  </si>
  <si>
    <t>VF198</t>
  </si>
  <si>
    <t>VF199</t>
  </si>
  <si>
    <t xml:space="preserve">Carlos Parada </t>
  </si>
  <si>
    <t xml:space="preserve">Febrero </t>
  </si>
  <si>
    <t>Watch-onn-china</t>
  </si>
  <si>
    <t>wonnch02</t>
  </si>
  <si>
    <t>Xiomy 2</t>
  </si>
  <si>
    <t>wonnch01</t>
  </si>
  <si>
    <t>Garantia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</si>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</sst>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6B4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5" fillId="0" borderId="0" applyFill="0" applyBorder="0" applyProtection="0">
      <alignment horizontal="left" wrapText="1"/>
    </xf>
    <xf numFmtId="0" fontId="1" fillId="0" borderId="0"/>
  </cellStyleXfs>
  <cellXfs count="11">
    <xf numFmtId="0" fontId="0" fillId="0" borderId="0" xfId="0"/>
    <xf numFmtId="49" fontId="4" fillId="2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 vertical="center"/>
    </xf>
  </cellXfs>
  <cellStyles count="5">
    <cellStyle name="Actividad" xfId="3" xr:uid="{4602AD21-8DDF-498D-828F-1F24CE28ED17}"/>
    <cellStyle name="Moneda" xfId="1" builtinId="4"/>
    <cellStyle name="Normal" xfId="0" builtinId="0"/>
    <cellStyle name="Normal 2" xfId="4" xr:uid="{39793829-323E-48B4-9F30-44FB5FFC51C6}"/>
    <cellStyle name="Normal 8" xfId="2" xr:uid="{F4EE9B49-2B36-4BD5-B732-7932F9B6391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ad056fcf46f041d/Documentos/MagisTV/Planificador%20de%20proyectos%20Magistv_v1_191025%202025-11-04%2021;30;08%20(Incremental).xlsm" TargetMode="External"/><Relationship Id="rId1" Type="http://schemas.openxmlformats.org/officeDocument/2006/relationships/externalLinkPath" Target="https://d.docs.live.net/dad056fcf46f041d/Documentos/MagisTV/Planificador%20de%20proyectos%20Magistv_v1_191025%202025-11-04%2021;30;08%20(Incremental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ad056fcf46f041d/Documentos/MagisTV/Planificador%20de%20proyectos%20Magistv_v1_16102024.xlsm" TargetMode="External"/><Relationship Id="rId1" Type="http://schemas.openxmlformats.org/officeDocument/2006/relationships/externalLinkPath" Target="https://d.docs.live.net/dad056fcf46f041d/Documentos/MagisTV/Planificador%20de%20proyectos%20Magistv_v1_161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G2022 (3)"/>
      <sheetName val="CG2022 (2)"/>
      <sheetName val="CG2022"/>
      <sheetName val="CG2023"/>
      <sheetName val="Planificador de Telelatino"/>
      <sheetName val="CG2024V1"/>
      <sheetName val="Dashboard"/>
      <sheetName val="CG2024 "/>
      <sheetName val="Planificador"/>
      <sheetName val="CG2024V2"/>
      <sheetName val="Resumen"/>
      <sheetName val="Inventario"/>
      <sheetName val="Base"/>
      <sheetName val="TC"/>
      <sheetName val="Ultimos Movimientos"/>
      <sheetName val="Lote"/>
      <sheetName val="Casita"/>
      <sheetName val="CDT"/>
      <sheetName val="FO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4">
          <cell r="A24" t="str">
            <v>Camilo Acevedo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G2022 (3)"/>
      <sheetName val="CG2022 (2)"/>
      <sheetName val="CG2022"/>
      <sheetName val="CG2023"/>
      <sheetName val="Planificador de Telelatino"/>
      <sheetName val="CG2024V1"/>
      <sheetName val="Dashboard"/>
      <sheetName val="CG2024 "/>
      <sheetName val="Planificador"/>
      <sheetName val="CG2024V2"/>
      <sheetName val="Resumen"/>
      <sheetName val="Inventario"/>
      <sheetName val="Base"/>
      <sheetName val="TC"/>
      <sheetName val="Ultimos Movimientos"/>
      <sheetName val="Lote"/>
      <sheetName val="CDT"/>
      <sheetName val="FO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Usuario</v>
          </cell>
          <cell r="B1" t="str">
            <v>No</v>
          </cell>
          <cell r="C1" t="str">
            <v>Fecha</v>
          </cell>
          <cell r="D1" t="str">
            <v xml:space="preserve">Descripcion </v>
          </cell>
          <cell r="E1" t="str">
            <v>Proveedor</v>
          </cell>
          <cell r="F1" t="str">
            <v>Serie</v>
          </cell>
        </row>
        <row r="2">
          <cell r="A2" t="str">
            <v>Cesar Aponte</v>
          </cell>
          <cell r="B2">
            <v>1</v>
          </cell>
          <cell r="C2">
            <v>45853</v>
          </cell>
          <cell r="D2" t="str">
            <v>Fire TV HD</v>
          </cell>
          <cell r="E2" t="str">
            <v xml:space="preserve">Amazon </v>
          </cell>
          <cell r="F2" t="str">
            <v>GT51CQ1851721FEU</v>
          </cell>
        </row>
        <row r="3">
          <cell r="B3">
            <v>2</v>
          </cell>
          <cell r="C3">
            <v>45853</v>
          </cell>
          <cell r="D3" t="str">
            <v>Fire TV HD</v>
          </cell>
          <cell r="E3" t="str">
            <v xml:space="preserve">Amazon </v>
          </cell>
          <cell r="F3" t="str">
            <v>GT51CQ1851721GDH</v>
          </cell>
        </row>
        <row r="4">
          <cell r="B4">
            <v>1</v>
          </cell>
          <cell r="C4">
            <v>45845</v>
          </cell>
          <cell r="D4" t="str">
            <v>Fire TV HD</v>
          </cell>
          <cell r="E4" t="str">
            <v xml:space="preserve">Amazon </v>
          </cell>
          <cell r="F4" t="str">
            <v>GT51CQ185176095C</v>
          </cell>
        </row>
        <row r="5">
          <cell r="B5">
            <v>2</v>
          </cell>
          <cell r="C5">
            <v>45845</v>
          </cell>
          <cell r="D5" t="str">
            <v>Fire TV HD</v>
          </cell>
          <cell r="E5" t="str">
            <v xml:space="preserve">Amazon </v>
          </cell>
          <cell r="F5" t="str">
            <v>GT51CQ1851620H07</v>
          </cell>
        </row>
        <row r="6">
          <cell r="B6">
            <v>1</v>
          </cell>
          <cell r="C6">
            <v>45852</v>
          </cell>
          <cell r="D6" t="str">
            <v>Fire TV 4K MAX</v>
          </cell>
          <cell r="E6" t="str">
            <v xml:space="preserve">Amazon </v>
          </cell>
          <cell r="F6" t="str">
            <v>GT52JM04510700WC</v>
          </cell>
        </row>
        <row r="7">
          <cell r="B7">
            <v>2</v>
          </cell>
          <cell r="C7">
            <v>45852</v>
          </cell>
          <cell r="D7" t="str">
            <v>Fire TV 4K MAX</v>
          </cell>
          <cell r="E7" t="str">
            <v xml:space="preserve">Amazon </v>
          </cell>
          <cell r="F7" t="str">
            <v>GT52JM045107002H</v>
          </cell>
        </row>
        <row r="8">
          <cell r="B8">
            <v>3</v>
          </cell>
          <cell r="C8">
            <v>45852</v>
          </cell>
          <cell r="D8" t="str">
            <v>Fire TV HD</v>
          </cell>
          <cell r="E8" t="str">
            <v xml:space="preserve">Amazon </v>
          </cell>
          <cell r="F8" t="str">
            <v>GT51CQ1851620M9P</v>
          </cell>
        </row>
        <row r="9">
          <cell r="A9" t="str">
            <v>Daniel Rangel</v>
          </cell>
          <cell r="B9">
            <v>1</v>
          </cell>
          <cell r="C9">
            <v>45770</v>
          </cell>
          <cell r="D9" t="str">
            <v>Fire TV HD</v>
          </cell>
          <cell r="E9" t="str">
            <v xml:space="preserve">Amazon </v>
          </cell>
          <cell r="F9" t="str">
            <v>G4N1CQ1845130VB5</v>
          </cell>
        </row>
        <row r="10">
          <cell r="B10">
            <v>2</v>
          </cell>
          <cell r="C10">
            <v>45770</v>
          </cell>
          <cell r="D10" t="str">
            <v>Fire TV HD</v>
          </cell>
          <cell r="E10" t="str">
            <v xml:space="preserve">Amazon </v>
          </cell>
          <cell r="F10" t="str">
            <v>G4N1CQ1845132G6H</v>
          </cell>
        </row>
        <row r="11">
          <cell r="A11" t="str">
            <v xml:space="preserve">Maria Teresa Villegas </v>
          </cell>
          <cell r="B11">
            <v>3</v>
          </cell>
          <cell r="C11">
            <v>45770</v>
          </cell>
          <cell r="D11" t="str">
            <v>Fire TV HD</v>
          </cell>
          <cell r="E11" t="str">
            <v xml:space="preserve">Amazon </v>
          </cell>
          <cell r="F11" t="str">
            <v>G4N1CQ1845220DKR</v>
          </cell>
        </row>
        <row r="12">
          <cell r="A12" t="str">
            <v>m</v>
          </cell>
          <cell r="B12">
            <v>1</v>
          </cell>
          <cell r="C12">
            <v>45706</v>
          </cell>
          <cell r="D12" t="str">
            <v>Fire TV HD</v>
          </cell>
          <cell r="E12" t="str">
            <v xml:space="preserve">Amazon </v>
          </cell>
          <cell r="F12" t="str">
            <v>G4N1CQ1644550QEC</v>
          </cell>
        </row>
        <row r="13">
          <cell r="A13" t="str">
            <v>Ricardo Acropolis</v>
          </cell>
          <cell r="B13">
            <v>2</v>
          </cell>
          <cell r="C13">
            <v>45706</v>
          </cell>
          <cell r="D13" t="str">
            <v>Fire TV HD</v>
          </cell>
          <cell r="E13" t="str">
            <v xml:space="preserve">Amazon </v>
          </cell>
          <cell r="F13" t="str">
            <v>G4N1CQ1644550QHF</v>
          </cell>
        </row>
        <row r="14">
          <cell r="A14" t="str">
            <v>Paola Rojas</v>
          </cell>
          <cell r="B14">
            <v>3</v>
          </cell>
          <cell r="C14">
            <v>45706</v>
          </cell>
          <cell r="D14" t="str">
            <v>Fire TV HD</v>
          </cell>
          <cell r="E14" t="str">
            <v xml:space="preserve">Amazon </v>
          </cell>
          <cell r="F14" t="str">
            <v>G4N1CQ1644550QCQ</v>
          </cell>
        </row>
        <row r="15">
          <cell r="B15">
            <v>4</v>
          </cell>
          <cell r="C15">
            <v>45706</v>
          </cell>
          <cell r="D15" t="str">
            <v>Fire TV LITE</v>
          </cell>
          <cell r="E15" t="str">
            <v xml:space="preserve">Amazon </v>
          </cell>
          <cell r="F15" t="str">
            <v>G4N1CQ154222079V</v>
          </cell>
        </row>
        <row r="16">
          <cell r="B16">
            <v>5</v>
          </cell>
          <cell r="C16">
            <v>45706</v>
          </cell>
          <cell r="D16" t="str">
            <v>Fire TV LITE</v>
          </cell>
          <cell r="E16" t="str">
            <v xml:space="preserve">Amazon </v>
          </cell>
          <cell r="F16" t="str">
            <v>G4N1CQ15422211JN</v>
          </cell>
        </row>
        <row r="17">
          <cell r="B17">
            <v>6</v>
          </cell>
          <cell r="C17">
            <v>45706</v>
          </cell>
          <cell r="D17" t="str">
            <v>Fire TV LITE</v>
          </cell>
          <cell r="E17" t="str">
            <v xml:space="preserve">Amazon </v>
          </cell>
          <cell r="F17" t="str">
            <v>G4N1CQ1542221D8V</v>
          </cell>
        </row>
        <row r="18">
          <cell r="A18" t="str">
            <v>Miguel Duarte 2</v>
          </cell>
          <cell r="B18">
            <v>1</v>
          </cell>
          <cell r="C18">
            <v>45635</v>
          </cell>
          <cell r="D18" t="str">
            <v>Fire TV 4K MAX</v>
          </cell>
          <cell r="E18" t="str">
            <v xml:space="preserve">Amazon </v>
          </cell>
          <cell r="F18" t="str">
            <v>G072JM0734160RGW</v>
          </cell>
        </row>
        <row r="19">
          <cell r="B19">
            <v>2</v>
          </cell>
          <cell r="C19">
            <v>45635</v>
          </cell>
          <cell r="D19" t="str">
            <v>Fire TV 4K MAX</v>
          </cell>
          <cell r="E19" t="str">
            <v xml:space="preserve">Amazon </v>
          </cell>
          <cell r="F19" t="str">
            <v>G4N2JM024387021G</v>
          </cell>
        </row>
        <row r="20">
          <cell r="A20" t="str">
            <v>Jose Omar Valencia</v>
          </cell>
          <cell r="B20">
            <v>3</v>
          </cell>
          <cell r="C20">
            <v>45635</v>
          </cell>
          <cell r="D20" t="str">
            <v>Fire TV 4K MAX</v>
          </cell>
          <cell r="E20" t="str">
            <v xml:space="preserve">Amazon </v>
          </cell>
          <cell r="F20" t="str">
            <v>G072JM0841050QUQ</v>
          </cell>
        </row>
        <row r="21">
          <cell r="B21">
            <v>4</v>
          </cell>
          <cell r="C21">
            <v>45635</v>
          </cell>
          <cell r="D21" t="str">
            <v>Fire TV 4K</v>
          </cell>
          <cell r="E21" t="str">
            <v xml:space="preserve">Amazon </v>
          </cell>
          <cell r="F21" t="str">
            <v>G072JN02442306MP</v>
          </cell>
        </row>
        <row r="22">
          <cell r="B22">
            <v>5</v>
          </cell>
          <cell r="C22">
            <v>45635</v>
          </cell>
          <cell r="D22" t="str">
            <v>Fire TV 4K</v>
          </cell>
          <cell r="E22" t="str">
            <v xml:space="preserve">Amazon </v>
          </cell>
          <cell r="F22" t="str">
            <v>G4N2JN02442307EN</v>
          </cell>
        </row>
        <row r="23">
          <cell r="B23">
            <v>6</v>
          </cell>
          <cell r="C23">
            <v>45635</v>
          </cell>
          <cell r="D23" t="str">
            <v>Fire TV 4K</v>
          </cell>
          <cell r="E23" t="str">
            <v xml:space="preserve">Amazon </v>
          </cell>
          <cell r="F23" t="str">
            <v>G4N2JN02442306M9</v>
          </cell>
        </row>
        <row r="24">
          <cell r="B24">
            <v>7</v>
          </cell>
          <cell r="C24">
            <v>45635</v>
          </cell>
          <cell r="D24" t="str">
            <v>Fire TV 4K</v>
          </cell>
          <cell r="E24" t="str">
            <v xml:space="preserve">Amazon </v>
          </cell>
          <cell r="F24" t="str">
            <v>G4N2JN0141350BV1</v>
          </cell>
        </row>
        <row r="25">
          <cell r="A25" t="str">
            <v>Daniela 11 (Mauricio M)</v>
          </cell>
          <cell r="B25">
            <v>8</v>
          </cell>
          <cell r="C25">
            <v>45635</v>
          </cell>
          <cell r="D25" t="str">
            <v>Fire TV 4K</v>
          </cell>
          <cell r="E25" t="str">
            <v xml:space="preserve">Amazon </v>
          </cell>
          <cell r="F25" t="str">
            <v>G4N2JN0141440JP9</v>
          </cell>
        </row>
        <row r="26">
          <cell r="A26" t="str">
            <v>Jhair Coronado</v>
          </cell>
          <cell r="B26">
            <v>9</v>
          </cell>
          <cell r="C26">
            <v>45635</v>
          </cell>
          <cell r="D26" t="str">
            <v>Fire TV 4K</v>
          </cell>
          <cell r="E26" t="str">
            <v xml:space="preserve">Amazon </v>
          </cell>
          <cell r="F26" t="str">
            <v>G4N2JN0141440C87</v>
          </cell>
        </row>
        <row r="27">
          <cell r="A27" t="str">
            <v>Alex Roa 2</v>
          </cell>
          <cell r="B27">
            <v>1</v>
          </cell>
          <cell r="C27">
            <v>45547</v>
          </cell>
          <cell r="D27" t="str">
            <v>Fire TV 4K</v>
          </cell>
          <cell r="E27" t="str">
            <v xml:space="preserve">Amazon </v>
          </cell>
          <cell r="F27" t="str">
            <v>G072JN0834721x0t</v>
          </cell>
        </row>
        <row r="28">
          <cell r="A28" t="str">
            <v>Dani (Ultimo)</v>
          </cell>
          <cell r="B28">
            <v>2</v>
          </cell>
          <cell r="C28">
            <v>45547</v>
          </cell>
          <cell r="D28" t="str">
            <v>Fire TV 4K</v>
          </cell>
          <cell r="E28" t="str">
            <v xml:space="preserve">Amazon </v>
          </cell>
          <cell r="F28" t="str">
            <v>G072JN0834721x1U</v>
          </cell>
        </row>
        <row r="29">
          <cell r="A29" t="str">
            <v xml:space="preserve">Mechas </v>
          </cell>
          <cell r="B29">
            <v>3</v>
          </cell>
          <cell r="C29">
            <v>45547</v>
          </cell>
          <cell r="D29" t="str">
            <v>Fire TV 4K</v>
          </cell>
          <cell r="E29" t="str">
            <v xml:space="preserve">Amazon </v>
          </cell>
          <cell r="F29" t="str">
            <v>G072JN0834721WAS</v>
          </cell>
        </row>
        <row r="30">
          <cell r="A30" t="str">
            <v>Camilo Charum</v>
          </cell>
          <cell r="B30">
            <v>1</v>
          </cell>
          <cell r="C30">
            <v>45484</v>
          </cell>
          <cell r="D30" t="str">
            <v>Fire TV 4K MAX</v>
          </cell>
          <cell r="E30" t="str">
            <v xml:space="preserve">Amazon </v>
          </cell>
          <cell r="F30" t="str">
            <v>G072JM0841560UAB</v>
          </cell>
        </row>
        <row r="31">
          <cell r="A31" t="str">
            <v>Ricardo Peña 3</v>
          </cell>
          <cell r="B31">
            <v>2</v>
          </cell>
          <cell r="C31">
            <v>45484</v>
          </cell>
          <cell r="D31" t="str">
            <v>Fire TV 4K MAX</v>
          </cell>
          <cell r="E31" t="str">
            <v xml:space="preserve">Amazon </v>
          </cell>
          <cell r="F31" t="str">
            <v>G072JM0841560VAU</v>
          </cell>
        </row>
        <row r="32">
          <cell r="A32" t="str">
            <v>Mauricio Carrasquilla</v>
          </cell>
          <cell r="B32">
            <v>3</v>
          </cell>
          <cell r="C32">
            <v>45484</v>
          </cell>
          <cell r="D32" t="str">
            <v>Fire TV 4K MAX</v>
          </cell>
          <cell r="E32" t="str">
            <v xml:space="preserve">Amazon </v>
          </cell>
          <cell r="F32" t="str">
            <v>G4N2JM0141572D0G</v>
          </cell>
        </row>
        <row r="33">
          <cell r="B33">
            <v>4</v>
          </cell>
          <cell r="C33">
            <v>45484</v>
          </cell>
          <cell r="D33" t="str">
            <v>Fire TV 4K</v>
          </cell>
          <cell r="E33" t="str">
            <v xml:space="preserve">Amazon </v>
          </cell>
          <cell r="F33" t="str">
            <v>G4N2JN0142330TEG</v>
          </cell>
        </row>
        <row r="34">
          <cell r="A34" t="str">
            <v>Alex Roa 1</v>
          </cell>
          <cell r="B34">
            <v>5</v>
          </cell>
          <cell r="C34">
            <v>45484</v>
          </cell>
          <cell r="D34" t="str">
            <v>Fire TV 4K</v>
          </cell>
          <cell r="E34" t="str">
            <v xml:space="preserve">Amazon </v>
          </cell>
          <cell r="F34" t="str">
            <v>G072JN0841960GA2</v>
          </cell>
        </row>
        <row r="35">
          <cell r="A35" t="str">
            <v>Angelica Merlo</v>
          </cell>
          <cell r="B35">
            <v>6</v>
          </cell>
          <cell r="C35">
            <v>45484</v>
          </cell>
          <cell r="D35" t="str">
            <v>Fire TV 4K</v>
          </cell>
          <cell r="E35" t="str">
            <v xml:space="preserve">Amazon </v>
          </cell>
          <cell r="F35" t="str">
            <v>G072JN0841960KRB</v>
          </cell>
        </row>
        <row r="36">
          <cell r="A36" t="str">
            <v>Carlos Palacio 3 (German)</v>
          </cell>
          <cell r="B36">
            <v>7</v>
          </cell>
          <cell r="C36">
            <v>45484</v>
          </cell>
          <cell r="D36" t="str">
            <v>Fire TV 4K</v>
          </cell>
          <cell r="E36" t="str">
            <v xml:space="preserve">Amazon </v>
          </cell>
          <cell r="F36" t="str">
            <v>G072JN0841960K80</v>
          </cell>
        </row>
        <row r="37">
          <cell r="A37" t="str">
            <v>Daniela11 (Claudia)</v>
          </cell>
          <cell r="B37">
            <v>8</v>
          </cell>
          <cell r="C37">
            <v>45484</v>
          </cell>
          <cell r="D37" t="str">
            <v>Fire TV 4K</v>
          </cell>
          <cell r="E37" t="str">
            <v xml:space="preserve">Amazon </v>
          </cell>
          <cell r="F37" t="str">
            <v>G072JN0841960GVW</v>
          </cell>
        </row>
        <row r="38">
          <cell r="A38" t="str">
            <v>Tio Stefania</v>
          </cell>
          <cell r="B38">
            <v>9</v>
          </cell>
          <cell r="C38">
            <v>45484</v>
          </cell>
          <cell r="D38" t="str">
            <v>Fire TV HD</v>
          </cell>
          <cell r="E38" t="str">
            <v xml:space="preserve">Amazon </v>
          </cell>
          <cell r="F38" t="str">
            <v>G4N1EL16401504W8</v>
          </cell>
        </row>
        <row r="39">
          <cell r="A39" t="str">
            <v>Mama Leidy</v>
          </cell>
          <cell r="B39">
            <v>10</v>
          </cell>
          <cell r="C39">
            <v>45484</v>
          </cell>
          <cell r="D39" t="str">
            <v>Fire TV HD</v>
          </cell>
          <cell r="E39" t="str">
            <v xml:space="preserve">Amazon </v>
          </cell>
          <cell r="F39" t="str">
            <v>G4N1EL16401505AP</v>
          </cell>
        </row>
        <row r="40">
          <cell r="A40" t="str">
            <v>Vannesa Solano 2</v>
          </cell>
          <cell r="B40">
            <v>11</v>
          </cell>
          <cell r="C40">
            <v>45484</v>
          </cell>
          <cell r="D40" t="str">
            <v>Fire TV HD</v>
          </cell>
          <cell r="E40" t="str">
            <v xml:space="preserve">Amazon </v>
          </cell>
          <cell r="F40" t="str">
            <v>G4N1EL17415617P7</v>
          </cell>
        </row>
        <row r="41">
          <cell r="A41" t="str">
            <v>Jose Postobon</v>
          </cell>
          <cell r="B41">
            <v>12</v>
          </cell>
          <cell r="C41">
            <v>45484</v>
          </cell>
          <cell r="D41" t="str">
            <v>Fire TV HD</v>
          </cell>
          <cell r="E41" t="str">
            <v xml:space="preserve">Amazon </v>
          </cell>
          <cell r="F41" t="str">
            <v>G071EL204044085R</v>
          </cell>
        </row>
        <row r="42">
          <cell r="A42" t="str">
            <v>Alexa Postobon</v>
          </cell>
          <cell r="B42">
            <v>13</v>
          </cell>
          <cell r="C42">
            <v>45484</v>
          </cell>
          <cell r="D42" t="str">
            <v>Fire TV HD</v>
          </cell>
          <cell r="E42" t="str">
            <v xml:space="preserve">Amazon </v>
          </cell>
          <cell r="F42" t="str">
            <v>G071EL2241550KDE</v>
          </cell>
        </row>
        <row r="43">
          <cell r="A43" t="str">
            <v>Mauricio Postobon</v>
          </cell>
          <cell r="B43">
            <v>14</v>
          </cell>
          <cell r="C43">
            <v>45484</v>
          </cell>
          <cell r="D43" t="str">
            <v>Fire TV HD</v>
          </cell>
          <cell r="E43" t="str">
            <v xml:space="preserve">Amazon </v>
          </cell>
          <cell r="F43" t="str">
            <v>G071EL204044095E</v>
          </cell>
        </row>
        <row r="44">
          <cell r="A44" t="str">
            <v>Hernan Coro Neiv</v>
          </cell>
          <cell r="B44">
            <v>15</v>
          </cell>
          <cell r="C44">
            <v>45484</v>
          </cell>
          <cell r="D44" t="str">
            <v>Fire TV HD</v>
          </cell>
          <cell r="E44" t="str">
            <v xml:space="preserve">Amazon </v>
          </cell>
          <cell r="F44" t="str">
            <v>G071EL2241631RA1</v>
          </cell>
        </row>
        <row r="45">
          <cell r="B45">
            <v>16</v>
          </cell>
          <cell r="C45">
            <v>45484</v>
          </cell>
          <cell r="D45" t="str">
            <v>Fire TV LITE</v>
          </cell>
          <cell r="E45" t="str">
            <v xml:space="preserve">Amazon </v>
          </cell>
          <cell r="F45" t="str">
            <v>G4N1CQ15420410T1</v>
          </cell>
        </row>
        <row r="46">
          <cell r="A46" t="str">
            <v>Andrea Maestre 2</v>
          </cell>
          <cell r="B46">
            <v>17</v>
          </cell>
          <cell r="C46">
            <v>45484</v>
          </cell>
          <cell r="D46" t="str">
            <v>Fire TV LITE</v>
          </cell>
          <cell r="E46" t="str">
            <v xml:space="preserve">Amazon </v>
          </cell>
          <cell r="F46" t="str">
            <v>G4N1CQ15420503MX</v>
          </cell>
        </row>
        <row r="47">
          <cell r="B47">
            <v>18</v>
          </cell>
          <cell r="C47">
            <v>45484</v>
          </cell>
          <cell r="D47" t="str">
            <v>Fire TV LITE</v>
          </cell>
          <cell r="E47" t="str">
            <v xml:space="preserve">Amazon </v>
          </cell>
          <cell r="F47" t="str">
            <v>G4N1CQ1542040CLE</v>
          </cell>
        </row>
        <row r="48">
          <cell r="A48" t="str">
            <v>Ivan Guerrero</v>
          </cell>
          <cell r="B48">
            <v>1</v>
          </cell>
          <cell r="C48">
            <v>45484</v>
          </cell>
          <cell r="D48" t="str">
            <v>Fire TV 4K MAX</v>
          </cell>
          <cell r="E48" t="str">
            <v xml:space="preserve">Amazon </v>
          </cell>
          <cell r="F48" t="str">
            <v>G4N2JM0141671BRS</v>
          </cell>
        </row>
        <row r="49">
          <cell r="A49" t="str">
            <v>German sando Hijo</v>
          </cell>
          <cell r="B49">
            <v>2</v>
          </cell>
          <cell r="C49">
            <v>45484</v>
          </cell>
          <cell r="D49" t="str">
            <v>Fire TV 4K MAX</v>
          </cell>
          <cell r="E49" t="str">
            <v xml:space="preserve">Amazon </v>
          </cell>
          <cell r="F49" t="str">
            <v>G4N2JM0141671GTV</v>
          </cell>
        </row>
        <row r="50">
          <cell r="A50" t="str">
            <v>Carlos Bernal 3</v>
          </cell>
          <cell r="B50">
            <v>3</v>
          </cell>
          <cell r="C50">
            <v>45484</v>
          </cell>
          <cell r="D50" t="str">
            <v>Fire TV 4K MAX</v>
          </cell>
          <cell r="E50" t="str">
            <v xml:space="preserve">Amazon </v>
          </cell>
          <cell r="F50" t="str">
            <v>G4N2JM0141671CPL</v>
          </cell>
        </row>
        <row r="51">
          <cell r="A51" t="str">
            <v>Daniela 9 4K (Jaime)</v>
          </cell>
          <cell r="B51">
            <v>4</v>
          </cell>
          <cell r="C51">
            <v>45484</v>
          </cell>
          <cell r="D51" t="str">
            <v>Fire TV 4K</v>
          </cell>
          <cell r="E51" t="str">
            <v xml:space="preserve">Amazon </v>
          </cell>
          <cell r="F51" t="str">
            <v>G072JN0834470DEU</v>
          </cell>
        </row>
        <row r="52">
          <cell r="A52" t="str">
            <v>Ciro Diaz(Andres Duque)</v>
          </cell>
          <cell r="B52">
            <v>5</v>
          </cell>
          <cell r="C52">
            <v>45484</v>
          </cell>
          <cell r="D52" t="str">
            <v>Fire TV 4K</v>
          </cell>
          <cell r="E52" t="str">
            <v xml:space="preserve">Amazon </v>
          </cell>
          <cell r="F52" t="str">
            <v>G072JN0834470DE6</v>
          </cell>
        </row>
        <row r="53">
          <cell r="A53" t="str">
            <v>Daniela 10 - (Luz-Stella)</v>
          </cell>
          <cell r="B53">
            <v>6</v>
          </cell>
          <cell r="C53">
            <v>45484</v>
          </cell>
          <cell r="D53" t="str">
            <v>Fire TV 4K</v>
          </cell>
          <cell r="E53" t="str">
            <v xml:space="preserve">Amazon </v>
          </cell>
          <cell r="F53" t="str">
            <v>G072JN08347427JU</v>
          </cell>
        </row>
        <row r="54">
          <cell r="A54" t="str">
            <v>Hernan Papa</v>
          </cell>
          <cell r="B54">
            <v>7</v>
          </cell>
          <cell r="C54">
            <v>45484</v>
          </cell>
          <cell r="D54" t="str">
            <v>Fire TV HD</v>
          </cell>
          <cell r="E54" t="str">
            <v xml:space="preserve">Amazon </v>
          </cell>
          <cell r="F54" t="str">
            <v>G4N1EL1741531MAK</v>
          </cell>
        </row>
        <row r="55">
          <cell r="A55" t="str">
            <v>Alex Brijaldo</v>
          </cell>
          <cell r="B55">
            <v>8</v>
          </cell>
          <cell r="C55">
            <v>45484</v>
          </cell>
          <cell r="D55" t="str">
            <v>Fire TV HD</v>
          </cell>
          <cell r="E55" t="str">
            <v xml:space="preserve">Amazon </v>
          </cell>
          <cell r="F55" t="str">
            <v>G4N1EL17415613XU</v>
          </cell>
        </row>
        <row r="56">
          <cell r="A56" t="str">
            <v>Vanessa Postobon</v>
          </cell>
          <cell r="B56">
            <v>9</v>
          </cell>
          <cell r="C56">
            <v>45484</v>
          </cell>
          <cell r="D56" t="str">
            <v>Fire TV HD</v>
          </cell>
          <cell r="E56" t="str">
            <v xml:space="preserve">Amazon </v>
          </cell>
          <cell r="F56" t="str">
            <v>G4N1EL1741531MAQ</v>
          </cell>
        </row>
        <row r="57">
          <cell r="A57" t="str">
            <v>Carlos Merlo 5 (Abel R)</v>
          </cell>
          <cell r="B57">
            <v>10</v>
          </cell>
          <cell r="C57">
            <v>45484</v>
          </cell>
          <cell r="D57" t="str">
            <v>Fire TV LITE</v>
          </cell>
          <cell r="E57" t="str">
            <v xml:space="preserve">Amazon </v>
          </cell>
          <cell r="F57" t="str">
            <v>G4N1CQ1541771PA6</v>
          </cell>
        </row>
        <row r="58">
          <cell r="A58" t="str">
            <v>Andrea Maestre 1</v>
          </cell>
          <cell r="B58">
            <v>11</v>
          </cell>
          <cell r="C58">
            <v>45484</v>
          </cell>
          <cell r="D58" t="str">
            <v>Fire TV LITE</v>
          </cell>
          <cell r="E58" t="str">
            <v xml:space="preserve">Amazon </v>
          </cell>
          <cell r="F58" t="str">
            <v>G4N1CQ1541771LV7</v>
          </cell>
        </row>
        <row r="59">
          <cell r="A59" t="str">
            <v>Miguel Diaz</v>
          </cell>
          <cell r="B59">
            <v>12</v>
          </cell>
          <cell r="C59">
            <v>45484</v>
          </cell>
          <cell r="D59" t="str">
            <v>Fire TV LITE</v>
          </cell>
          <cell r="E59" t="str">
            <v xml:space="preserve">Amazon </v>
          </cell>
          <cell r="F59" t="str">
            <v>G4N1CQ1541771LMX</v>
          </cell>
        </row>
        <row r="60">
          <cell r="A60" t="str">
            <v>Diego Neiv</v>
          </cell>
          <cell r="B60">
            <v>1</v>
          </cell>
          <cell r="C60">
            <v>45479</v>
          </cell>
          <cell r="D60" t="str">
            <v>Fire TV 4K</v>
          </cell>
          <cell r="E60" t="str">
            <v>Externo</v>
          </cell>
          <cell r="F60" t="str">
            <v>G072JN0734340ECL</v>
          </cell>
        </row>
        <row r="61">
          <cell r="A61" t="str">
            <v xml:space="preserve">Vannesa Solano 1 </v>
          </cell>
          <cell r="B61">
            <v>2</v>
          </cell>
          <cell r="C61">
            <v>45479</v>
          </cell>
          <cell r="D61" t="str">
            <v>Fire TV 4K</v>
          </cell>
          <cell r="E61" t="str">
            <v>Externo</v>
          </cell>
          <cell r="F61" t="str">
            <v>G072JN08348607k9</v>
          </cell>
        </row>
        <row r="62">
          <cell r="A62" t="str">
            <v>Harry 2</v>
          </cell>
          <cell r="B62">
            <v>3</v>
          </cell>
          <cell r="C62">
            <v>45479</v>
          </cell>
          <cell r="D62" t="str">
            <v>Fire TV 4K</v>
          </cell>
          <cell r="E62" t="str">
            <v>Externo</v>
          </cell>
          <cell r="F62" t="str">
            <v>G072JN0834860ELS</v>
          </cell>
        </row>
        <row r="63">
          <cell r="A63" t="str">
            <v>Carlos Bernal 2</v>
          </cell>
          <cell r="B63">
            <v>4</v>
          </cell>
          <cell r="C63">
            <v>45479</v>
          </cell>
          <cell r="D63" t="str">
            <v>Fire TV 4K</v>
          </cell>
          <cell r="E63" t="str">
            <v>Externo</v>
          </cell>
          <cell r="F63" t="str">
            <v>G072JN0834860TQV</v>
          </cell>
        </row>
        <row r="64">
          <cell r="A64" t="str">
            <v>Marce - lucia</v>
          </cell>
          <cell r="B64">
            <v>5</v>
          </cell>
          <cell r="C64">
            <v>45403</v>
          </cell>
          <cell r="D64" t="str">
            <v>Fire TV 4K MAX</v>
          </cell>
          <cell r="E64" t="str">
            <v xml:space="preserve">Amazon </v>
          </cell>
          <cell r="F64" t="str">
            <v>G072JM084053041R</v>
          </cell>
        </row>
        <row r="65">
          <cell r="A65" t="str">
            <v>Lucia 4K max 2</v>
          </cell>
          <cell r="B65">
            <v>6</v>
          </cell>
          <cell r="C65">
            <v>45403</v>
          </cell>
          <cell r="D65" t="str">
            <v>Fire TV 4K MAX</v>
          </cell>
          <cell r="E65" t="str">
            <v xml:space="preserve">Amazon </v>
          </cell>
          <cell r="F65" t="str">
            <v>G072JM08405401U9</v>
          </cell>
        </row>
        <row r="66">
          <cell r="A66" t="str">
            <v>Gonzalo Peña 4K+</v>
          </cell>
          <cell r="B66">
            <v>7</v>
          </cell>
          <cell r="C66">
            <v>45403</v>
          </cell>
          <cell r="D66" t="str">
            <v>Fire TV 4K MAX</v>
          </cell>
          <cell r="E66" t="str">
            <v xml:space="preserve">Amazon </v>
          </cell>
          <cell r="F66" t="str">
            <v>G072JM08403202LM</v>
          </cell>
        </row>
        <row r="67">
          <cell r="A67" t="str">
            <v>Diana Rojas 3 4K</v>
          </cell>
          <cell r="B67">
            <v>8</v>
          </cell>
          <cell r="C67">
            <v>45403</v>
          </cell>
          <cell r="D67" t="str">
            <v>Fire TV 4K</v>
          </cell>
          <cell r="E67" t="str">
            <v xml:space="preserve">Amazon </v>
          </cell>
          <cell r="F67" t="str">
            <v>G072JN0840260TPN</v>
          </cell>
        </row>
        <row r="68">
          <cell r="A68" t="str">
            <v>Diana Rojas 2 4K</v>
          </cell>
          <cell r="B68">
            <v>9</v>
          </cell>
          <cell r="C68">
            <v>45403</v>
          </cell>
          <cell r="D68" t="str">
            <v>Fire TV 4K</v>
          </cell>
          <cell r="E68" t="str">
            <v xml:space="preserve">Amazon </v>
          </cell>
          <cell r="F68" t="str">
            <v>G072JN0840260TKM</v>
          </cell>
        </row>
        <row r="69">
          <cell r="A69" t="str">
            <v>Daniela 8 4K (Sonia)</v>
          </cell>
          <cell r="B69">
            <v>10</v>
          </cell>
          <cell r="C69">
            <v>45403</v>
          </cell>
          <cell r="D69" t="str">
            <v>Fire TV 4K</v>
          </cell>
          <cell r="E69" t="str">
            <v xml:space="preserve">Amazon </v>
          </cell>
          <cell r="F69" t="str">
            <v>G072JN0840260JW9</v>
          </cell>
        </row>
        <row r="70">
          <cell r="A70" t="str">
            <v>Pipe 2 HD</v>
          </cell>
          <cell r="B70">
            <v>11</v>
          </cell>
          <cell r="C70">
            <v>45403</v>
          </cell>
          <cell r="D70" t="str">
            <v>Fire TV HD</v>
          </cell>
          <cell r="E70" t="str">
            <v xml:space="preserve">Amazon </v>
          </cell>
          <cell r="F70" t="str">
            <v>G4N1EL1635220A3C</v>
          </cell>
        </row>
        <row r="71">
          <cell r="B71">
            <v>12</v>
          </cell>
          <cell r="C71">
            <v>45403</v>
          </cell>
          <cell r="D71" t="str">
            <v>Fire TV HD</v>
          </cell>
          <cell r="E71" t="str">
            <v xml:space="preserve">Amazon </v>
          </cell>
          <cell r="F71" t="str">
            <v>G4N1EL1635220A46</v>
          </cell>
        </row>
        <row r="72">
          <cell r="A72" t="str">
            <v>Ruben 2FireTV 4K</v>
          </cell>
          <cell r="B72">
            <v>13</v>
          </cell>
          <cell r="C72">
            <v>45403</v>
          </cell>
          <cell r="D72" t="str">
            <v>Fire TV HD</v>
          </cell>
          <cell r="E72" t="str">
            <v xml:space="preserve">Amazon </v>
          </cell>
          <cell r="F72" t="str">
            <v>G4N1EL1635220A39</v>
          </cell>
        </row>
        <row r="73">
          <cell r="A73" t="str">
            <v>Alvaro Lopez lite</v>
          </cell>
          <cell r="B73">
            <v>14</v>
          </cell>
          <cell r="C73">
            <v>45403</v>
          </cell>
          <cell r="D73" t="str">
            <v>Fire TV LITE</v>
          </cell>
          <cell r="E73" t="str">
            <v xml:space="preserve">Amazon </v>
          </cell>
          <cell r="F73" t="str">
            <v>G4N1CQ1440920LUH</v>
          </cell>
        </row>
        <row r="74">
          <cell r="A74" t="str">
            <v>Adriana Garzon 4</v>
          </cell>
          <cell r="B74">
            <v>15</v>
          </cell>
          <cell r="C74">
            <v>45403</v>
          </cell>
          <cell r="D74" t="str">
            <v>Fire TV LITE</v>
          </cell>
          <cell r="E74" t="str">
            <v xml:space="preserve">Amazon </v>
          </cell>
          <cell r="F74" t="str">
            <v>G4N1CQ1440920M8K</v>
          </cell>
        </row>
        <row r="75">
          <cell r="A75" t="str">
            <v>Jan Demo</v>
          </cell>
          <cell r="B75">
            <v>16</v>
          </cell>
          <cell r="C75">
            <v>45403</v>
          </cell>
          <cell r="D75" t="str">
            <v>Fire TV LITE</v>
          </cell>
          <cell r="E75" t="str">
            <v xml:space="preserve">Amazon </v>
          </cell>
          <cell r="F75" t="str">
            <v>G4N1CQ1440920L9P</v>
          </cell>
        </row>
        <row r="76">
          <cell r="A76" t="str">
            <v>Carlos Lopera 4k</v>
          </cell>
          <cell r="B76">
            <v>17</v>
          </cell>
          <cell r="C76">
            <v>45360</v>
          </cell>
          <cell r="D76" t="str">
            <v>Fire TV 4K</v>
          </cell>
          <cell r="E76" t="str">
            <v xml:space="preserve">Amazon </v>
          </cell>
          <cell r="F76" t="str">
            <v>G072JN0734420PL9</v>
          </cell>
        </row>
        <row r="77">
          <cell r="A77" t="str">
            <v>Daniela 7 (Omar)</v>
          </cell>
          <cell r="B77">
            <v>18</v>
          </cell>
          <cell r="C77">
            <v>45360</v>
          </cell>
          <cell r="D77" t="str">
            <v>Fire TV 4K</v>
          </cell>
          <cell r="E77" t="str">
            <v xml:space="preserve">Amazon </v>
          </cell>
          <cell r="F77" t="str">
            <v>G072JN0734420PKE</v>
          </cell>
        </row>
        <row r="78">
          <cell r="A78" t="str">
            <v>Nilson Mechas FireTV HD</v>
          </cell>
          <cell r="B78">
            <v>19</v>
          </cell>
          <cell r="C78">
            <v>45360</v>
          </cell>
          <cell r="D78" t="str">
            <v>Fire TV 4K</v>
          </cell>
          <cell r="E78" t="str">
            <v xml:space="preserve">Amazon </v>
          </cell>
          <cell r="F78" t="str">
            <v>G072JN0734420PAL</v>
          </cell>
        </row>
        <row r="79">
          <cell r="A79" t="str">
            <v>Niño 2 4k</v>
          </cell>
          <cell r="B79">
            <v>20</v>
          </cell>
          <cell r="C79">
            <v>45356</v>
          </cell>
          <cell r="D79" t="str">
            <v>Fire TV 4K</v>
          </cell>
          <cell r="E79" t="str">
            <v xml:space="preserve">Amazon </v>
          </cell>
          <cell r="F79" t="str">
            <v>G072JN083514033F</v>
          </cell>
        </row>
        <row r="80">
          <cell r="A80" t="str">
            <v>Daniela 6 (Fernando)</v>
          </cell>
          <cell r="B80">
            <v>21</v>
          </cell>
          <cell r="C80">
            <v>45353</v>
          </cell>
          <cell r="D80" t="str">
            <v>Fire TV 4K</v>
          </cell>
          <cell r="E80" t="str">
            <v xml:space="preserve">Amazon </v>
          </cell>
          <cell r="F80" t="str">
            <v>G072JN0734362EUF</v>
          </cell>
        </row>
        <row r="81">
          <cell r="A81" t="str">
            <v>Adriana Garzon 1</v>
          </cell>
          <cell r="B81">
            <v>22</v>
          </cell>
          <cell r="C81">
            <v>45353</v>
          </cell>
          <cell r="D81" t="str">
            <v>Fire TV 4K</v>
          </cell>
          <cell r="E81" t="str">
            <v xml:space="preserve">Amazon </v>
          </cell>
          <cell r="F81" t="str">
            <v>G072JN0734361G63</v>
          </cell>
        </row>
        <row r="82">
          <cell r="A82" t="str">
            <v>Adriana Garzon 2</v>
          </cell>
          <cell r="B82">
            <v>23</v>
          </cell>
          <cell r="C82">
            <v>45353</v>
          </cell>
          <cell r="D82" t="str">
            <v>Fire TV 4K</v>
          </cell>
          <cell r="E82" t="str">
            <v xml:space="preserve">Amazon </v>
          </cell>
          <cell r="F82" t="str">
            <v>G072JN0734362F1J</v>
          </cell>
        </row>
        <row r="83">
          <cell r="A83" t="str">
            <v>Adriana Garzon 3</v>
          </cell>
          <cell r="B83">
            <v>24</v>
          </cell>
          <cell r="C83">
            <v>45352</v>
          </cell>
          <cell r="D83" t="str">
            <v>Fire TV 4K</v>
          </cell>
          <cell r="E83" t="str">
            <v xml:space="preserve">Amazon </v>
          </cell>
          <cell r="F83" t="str">
            <v>G072JN08401616CF</v>
          </cell>
        </row>
        <row r="84">
          <cell r="A84" t="str">
            <v>Carlos Bernal 1</v>
          </cell>
          <cell r="B84">
            <v>25</v>
          </cell>
          <cell r="C84">
            <v>45352</v>
          </cell>
          <cell r="D84" t="str">
            <v>Fire TV 4K MAX</v>
          </cell>
          <cell r="E84" t="str">
            <v xml:space="preserve">Amazon </v>
          </cell>
          <cell r="F84" t="str">
            <v>G072JM08347708HP</v>
          </cell>
        </row>
        <row r="85">
          <cell r="A85" t="str">
            <v>Daniel Elkin FireTV HD</v>
          </cell>
          <cell r="B85">
            <v>26</v>
          </cell>
          <cell r="C85">
            <v>45352</v>
          </cell>
          <cell r="D85" t="str">
            <v>Fire TV HD</v>
          </cell>
          <cell r="E85" t="str">
            <v xml:space="preserve">Amazon </v>
          </cell>
          <cell r="F85" t="str">
            <v>G071EL204023035H</v>
          </cell>
        </row>
        <row r="86">
          <cell r="A86" t="str">
            <v>Viviana Gomez Jan 4K</v>
          </cell>
          <cell r="B86">
            <v>27</v>
          </cell>
          <cell r="C86">
            <v>45335</v>
          </cell>
          <cell r="D86" t="str">
            <v>Fire TV 4K</v>
          </cell>
          <cell r="E86" t="str">
            <v>Externo</v>
          </cell>
        </row>
        <row r="87">
          <cell r="A87" t="str">
            <v>Jorge AlmoFireTV 4K</v>
          </cell>
          <cell r="B87">
            <v>28</v>
          </cell>
          <cell r="C87">
            <v>45335</v>
          </cell>
          <cell r="D87" t="str">
            <v>Fire TV 4K</v>
          </cell>
          <cell r="E87" t="str">
            <v>Externo</v>
          </cell>
        </row>
        <row r="88">
          <cell r="A88" t="str">
            <v>Gloria Piñeres</v>
          </cell>
          <cell r="B88">
            <v>29</v>
          </cell>
          <cell r="C88">
            <v>45330</v>
          </cell>
          <cell r="D88" t="str">
            <v>Fire TV HD</v>
          </cell>
          <cell r="E88" t="str">
            <v xml:space="preserve">Amazon </v>
          </cell>
          <cell r="F88" t="str">
            <v>G4N1EL1633850LFK</v>
          </cell>
        </row>
        <row r="89">
          <cell r="A89" t="str">
            <v>A Chirinos FireTV HD</v>
          </cell>
          <cell r="B89">
            <v>30</v>
          </cell>
          <cell r="C89">
            <v>45330</v>
          </cell>
          <cell r="D89" t="str">
            <v>Fire TV 4K</v>
          </cell>
          <cell r="E89" t="str">
            <v xml:space="preserve">Amazon </v>
          </cell>
          <cell r="F89" t="str">
            <v>G072JN08347413RH</v>
          </cell>
        </row>
        <row r="90">
          <cell r="A90" t="str">
            <v>Lucia4K max</v>
          </cell>
          <cell r="B90">
            <v>31</v>
          </cell>
          <cell r="C90">
            <v>45330</v>
          </cell>
          <cell r="D90" t="str">
            <v>Fire TV 4K MAX</v>
          </cell>
          <cell r="E90" t="str">
            <v xml:space="preserve">Amazon </v>
          </cell>
          <cell r="F90" t="str">
            <v>G072JM083464149N</v>
          </cell>
        </row>
        <row r="91">
          <cell r="A91" t="str">
            <v>Andres chiri ven 1 lite</v>
          </cell>
          <cell r="B91">
            <v>32</v>
          </cell>
          <cell r="C91">
            <v>45307</v>
          </cell>
          <cell r="D91" t="str">
            <v>Fire TV LITE</v>
          </cell>
          <cell r="E91" t="str">
            <v xml:space="preserve">Amazon </v>
          </cell>
          <cell r="F91" t="str">
            <v>G4N1CQ1434650VVQ</v>
          </cell>
        </row>
        <row r="92">
          <cell r="A92" t="str">
            <v>Andres chiri ven 2 lite</v>
          </cell>
          <cell r="B92">
            <v>33</v>
          </cell>
          <cell r="C92">
            <v>45307</v>
          </cell>
          <cell r="D92" t="str">
            <v>Fire TV LITE</v>
          </cell>
          <cell r="E92" t="str">
            <v xml:space="preserve">Amazon </v>
          </cell>
          <cell r="F92" t="str">
            <v>G4N1CQ1434650TLM</v>
          </cell>
        </row>
        <row r="93">
          <cell r="A93" t="str">
            <v>Felipe Parra</v>
          </cell>
          <cell r="B93">
            <v>34</v>
          </cell>
          <cell r="C93">
            <v>45307</v>
          </cell>
          <cell r="D93" t="str">
            <v>Fire TV LITE</v>
          </cell>
          <cell r="E93" t="str">
            <v xml:space="preserve">Amazon </v>
          </cell>
          <cell r="F93" t="str">
            <v>G4N1CQ1434650VG8</v>
          </cell>
        </row>
        <row r="94">
          <cell r="A94" t="str">
            <v>Andres Duque</v>
          </cell>
          <cell r="B94">
            <v>35</v>
          </cell>
          <cell r="C94">
            <v>45307</v>
          </cell>
          <cell r="D94" t="str">
            <v>Fire TV HD</v>
          </cell>
          <cell r="E94" t="str">
            <v xml:space="preserve">Amazon </v>
          </cell>
          <cell r="F94" t="str">
            <v>G4N1EL16347203MK</v>
          </cell>
        </row>
        <row r="95">
          <cell r="A95" t="str">
            <v>A Chirinos FireTV HD</v>
          </cell>
          <cell r="B95">
            <v>36</v>
          </cell>
          <cell r="C95">
            <v>45307</v>
          </cell>
          <cell r="D95" t="str">
            <v>Fire TV HD</v>
          </cell>
          <cell r="E95" t="str">
            <v xml:space="preserve">Amazon </v>
          </cell>
          <cell r="F95" t="str">
            <v>G4N1EL16347202HP</v>
          </cell>
        </row>
        <row r="96">
          <cell r="A96" t="str">
            <v>Jan (Amigo de Stefania)</v>
          </cell>
          <cell r="B96">
            <v>37</v>
          </cell>
          <cell r="C96">
            <v>45307</v>
          </cell>
          <cell r="D96" t="str">
            <v>Fire TV HD</v>
          </cell>
          <cell r="E96" t="str">
            <v xml:space="preserve">Amazon </v>
          </cell>
          <cell r="F96" t="str">
            <v>G4N1EL16347202TT</v>
          </cell>
        </row>
        <row r="97">
          <cell r="A97" t="str">
            <v>Lino porteroFireTV HD</v>
          </cell>
          <cell r="B97">
            <v>38</v>
          </cell>
          <cell r="C97">
            <v>45302</v>
          </cell>
          <cell r="D97" t="str">
            <v>Fire TV HD</v>
          </cell>
          <cell r="E97" t="str">
            <v xml:space="preserve">Amazon </v>
          </cell>
          <cell r="F97" t="str">
            <v>G071EL172486105E</v>
          </cell>
        </row>
        <row r="98">
          <cell r="A98" t="str">
            <v>Laura Gonzales Jan H4K</v>
          </cell>
          <cell r="B98">
            <v>39</v>
          </cell>
          <cell r="C98">
            <v>45302</v>
          </cell>
          <cell r="D98" t="str">
            <v>Fire TV 4K</v>
          </cell>
          <cell r="E98" t="str">
            <v xml:space="preserve">Amazon </v>
          </cell>
          <cell r="F98" t="str">
            <v>G072JN0733440U83</v>
          </cell>
        </row>
        <row r="99">
          <cell r="A99" t="str">
            <v>Ivan Correa Jan 4K</v>
          </cell>
          <cell r="B99">
            <v>40</v>
          </cell>
          <cell r="C99">
            <v>45257</v>
          </cell>
          <cell r="D99" t="str">
            <v>Fire TV 4K</v>
          </cell>
          <cell r="E99" t="str">
            <v xml:space="preserve">Amazon </v>
          </cell>
          <cell r="F99" t="str">
            <v>G072JN0733821C1N</v>
          </cell>
        </row>
        <row r="100">
          <cell r="A100" t="str">
            <v>Leo 2</v>
          </cell>
          <cell r="B100">
            <v>41</v>
          </cell>
          <cell r="C100">
            <v>45257</v>
          </cell>
          <cell r="D100" t="str">
            <v>Fire TV 4K</v>
          </cell>
          <cell r="E100" t="str">
            <v xml:space="preserve">Amazon </v>
          </cell>
          <cell r="F100" t="str">
            <v>G072JN0733821NEM</v>
          </cell>
        </row>
        <row r="101">
          <cell r="A101" t="str">
            <v>Jhon Garzon4K</v>
          </cell>
          <cell r="B101">
            <v>42</v>
          </cell>
          <cell r="C101">
            <v>45257</v>
          </cell>
          <cell r="D101" t="str">
            <v>Fire TV 4K</v>
          </cell>
          <cell r="E101" t="str">
            <v xml:space="preserve">Amazon </v>
          </cell>
          <cell r="F101" t="str">
            <v>G072JN0733821NDT</v>
          </cell>
        </row>
        <row r="102">
          <cell r="A102" t="str">
            <v xml:space="preserve">Suegro </v>
          </cell>
          <cell r="B102">
            <v>43</v>
          </cell>
          <cell r="C102">
            <v>45250</v>
          </cell>
          <cell r="D102" t="str">
            <v>Fire TV LITE</v>
          </cell>
          <cell r="E102" t="str">
            <v xml:space="preserve">Amazon </v>
          </cell>
          <cell r="F102" t="str">
            <v>G4N1CQ1434340D5P</v>
          </cell>
        </row>
        <row r="103">
          <cell r="A103" t="str">
            <v>Ivan Brijaldo</v>
          </cell>
          <cell r="B103">
            <v>44</v>
          </cell>
          <cell r="C103">
            <v>45250</v>
          </cell>
          <cell r="D103" t="str">
            <v>Fire TV LITE</v>
          </cell>
          <cell r="E103" t="str">
            <v xml:space="preserve">Amazon </v>
          </cell>
          <cell r="F103" t="str">
            <v>G4N1CQ14343400UE</v>
          </cell>
        </row>
        <row r="104">
          <cell r="A104" t="str">
            <v>Garantia Dani 2</v>
          </cell>
          <cell r="B104">
            <v>45</v>
          </cell>
          <cell r="C104">
            <v>45250</v>
          </cell>
          <cell r="D104" t="str">
            <v>Fire TV LITE</v>
          </cell>
          <cell r="E104" t="str">
            <v xml:space="preserve">Amazon </v>
          </cell>
          <cell r="F104" t="str">
            <v>G4N1CQ14343400NH</v>
          </cell>
        </row>
        <row r="105">
          <cell r="A105" t="str">
            <v>Harry</v>
          </cell>
          <cell r="B105">
            <v>46</v>
          </cell>
          <cell r="C105">
            <v>45250</v>
          </cell>
          <cell r="D105" t="str">
            <v>Fire TV HD</v>
          </cell>
          <cell r="E105" t="str">
            <v xml:space="preserve">Amazon </v>
          </cell>
          <cell r="F105" t="str">
            <v>G4N1EL1130460JU0</v>
          </cell>
        </row>
        <row r="106">
          <cell r="A106" t="str">
            <v>A Chirinos 4K</v>
          </cell>
          <cell r="B106">
            <v>47</v>
          </cell>
          <cell r="C106">
            <v>45250</v>
          </cell>
          <cell r="D106" t="str">
            <v>Fire TV HD</v>
          </cell>
          <cell r="E106" t="str">
            <v xml:space="preserve">Amazon </v>
          </cell>
          <cell r="F106" t="str">
            <v>G4N1EL1130460TUM</v>
          </cell>
        </row>
        <row r="107">
          <cell r="A107" t="str">
            <v xml:space="preserve">Elizabeth </v>
          </cell>
          <cell r="B107">
            <v>48</v>
          </cell>
          <cell r="C107">
            <v>45250</v>
          </cell>
          <cell r="D107" t="str">
            <v>Fire TV HD</v>
          </cell>
          <cell r="E107" t="str">
            <v xml:space="preserve">Amazon </v>
          </cell>
          <cell r="F107" t="str">
            <v>G4N1EL1130460PQT</v>
          </cell>
        </row>
        <row r="108">
          <cell r="A108" t="str">
            <v>Kaleth2 4K</v>
          </cell>
          <cell r="B108">
            <v>49</v>
          </cell>
          <cell r="C108">
            <v>45204</v>
          </cell>
          <cell r="D108" t="str">
            <v>Fire TV 4K</v>
          </cell>
          <cell r="E108" t="str">
            <v xml:space="preserve">Amazon </v>
          </cell>
          <cell r="F108" t="str">
            <v>G070VM2631950ND4</v>
          </cell>
        </row>
        <row r="109">
          <cell r="A109" t="str">
            <v>Maria Teresa 4K</v>
          </cell>
          <cell r="B109">
            <v>50</v>
          </cell>
          <cell r="C109">
            <v>45204</v>
          </cell>
          <cell r="D109" t="str">
            <v>Fire TV 4K</v>
          </cell>
          <cell r="E109" t="str">
            <v xml:space="preserve">Amazon </v>
          </cell>
          <cell r="F109" t="str">
            <v>G4N0VM143173027N</v>
          </cell>
        </row>
        <row r="110">
          <cell r="A110" t="str">
            <v>Ricardo Peña 2 4K</v>
          </cell>
          <cell r="B110">
            <v>51</v>
          </cell>
          <cell r="C110">
            <v>45204</v>
          </cell>
          <cell r="D110" t="str">
            <v>Fire TV 4K</v>
          </cell>
          <cell r="E110" t="str">
            <v xml:space="preserve">Amazon </v>
          </cell>
          <cell r="F110" t="str">
            <v>G4N0VM143197042J</v>
          </cell>
        </row>
        <row r="111">
          <cell r="A111" t="str">
            <v>Mauricio Bonilla4K</v>
          </cell>
          <cell r="B111">
            <v>52</v>
          </cell>
          <cell r="C111">
            <v>45200</v>
          </cell>
          <cell r="D111" t="str">
            <v>Fire TV 4K</v>
          </cell>
          <cell r="E111" t="str">
            <v xml:space="preserve">Amazon </v>
          </cell>
          <cell r="F111" t="str">
            <v>G4N0VM143106031A</v>
          </cell>
        </row>
        <row r="112">
          <cell r="A112" t="str">
            <v>Don Gus 4K</v>
          </cell>
          <cell r="B112">
            <v>53</v>
          </cell>
          <cell r="C112">
            <v>45200</v>
          </cell>
          <cell r="D112" t="str">
            <v>Fire TV 4K</v>
          </cell>
          <cell r="E112" t="str">
            <v xml:space="preserve">Amazon </v>
          </cell>
          <cell r="F112" t="str">
            <v>G4N0VM14310607CG</v>
          </cell>
        </row>
        <row r="113">
          <cell r="A113" t="str">
            <v>Jan3 Demo 4K</v>
          </cell>
          <cell r="B113">
            <v>54</v>
          </cell>
          <cell r="C113">
            <v>45200</v>
          </cell>
          <cell r="D113" t="str">
            <v>Fire TV 4K</v>
          </cell>
          <cell r="E113" t="str">
            <v xml:space="preserve">Amazon </v>
          </cell>
          <cell r="F113" t="str">
            <v>G4N0VM14310605TN</v>
          </cell>
        </row>
        <row r="114">
          <cell r="A114" t="str">
            <v>Dysney 4K max</v>
          </cell>
          <cell r="B114">
            <v>55</v>
          </cell>
          <cell r="C114">
            <v>45146</v>
          </cell>
          <cell r="D114" t="str">
            <v>Fire TV 4K MAX</v>
          </cell>
          <cell r="E114" t="str">
            <v xml:space="preserve">Amazon </v>
          </cell>
          <cell r="F114" t="str">
            <v>G071R209252401MW</v>
          </cell>
        </row>
        <row r="115">
          <cell r="A115" t="str">
            <v>Javier_Rod3  4k max</v>
          </cell>
          <cell r="B115">
            <v>56</v>
          </cell>
          <cell r="C115">
            <v>45146</v>
          </cell>
          <cell r="D115" t="str">
            <v>Fire TV 4K MAX</v>
          </cell>
          <cell r="E115" t="str">
            <v xml:space="preserve">Amazon </v>
          </cell>
          <cell r="F115" t="str">
            <v>G071R20932050N3A</v>
          </cell>
        </row>
        <row r="116">
          <cell r="A116" t="str">
            <v>Adriana Hermano 4K max</v>
          </cell>
          <cell r="B116">
            <v>57</v>
          </cell>
          <cell r="C116">
            <v>45146</v>
          </cell>
          <cell r="D116" t="str">
            <v>Fire TV 4K MAX</v>
          </cell>
          <cell r="E116" t="str">
            <v xml:space="preserve">Amazon </v>
          </cell>
          <cell r="F116" t="str">
            <v>G071R20932230HDV</v>
          </cell>
        </row>
        <row r="117">
          <cell r="A117" t="str">
            <v>leoRojas4K</v>
          </cell>
          <cell r="B117">
            <v>58</v>
          </cell>
          <cell r="C117">
            <v>45146</v>
          </cell>
          <cell r="D117" t="str">
            <v>Fire TV 4K</v>
          </cell>
          <cell r="E117" t="str">
            <v xml:space="preserve">Amazon </v>
          </cell>
          <cell r="F117" t="str">
            <v>G070VM2631840J1U</v>
          </cell>
        </row>
        <row r="118">
          <cell r="A118" t="str">
            <v>Ricardo Peña4K</v>
          </cell>
          <cell r="B118">
            <v>59</v>
          </cell>
          <cell r="C118">
            <v>45146</v>
          </cell>
          <cell r="D118" t="str">
            <v>Fire TV 4K</v>
          </cell>
          <cell r="E118" t="str">
            <v xml:space="preserve">Amazon </v>
          </cell>
          <cell r="F118" t="str">
            <v>G070VM2631840LJC</v>
          </cell>
        </row>
        <row r="119">
          <cell r="A119" t="str">
            <v>Mario Ortiz4K</v>
          </cell>
          <cell r="B119">
            <v>60</v>
          </cell>
          <cell r="C119">
            <v>45146</v>
          </cell>
          <cell r="D119" t="str">
            <v>Fire TV 4K</v>
          </cell>
          <cell r="E119" t="str">
            <v xml:space="preserve">Amazon </v>
          </cell>
          <cell r="F119" t="str">
            <v>G070VM2631840JV5</v>
          </cell>
        </row>
        <row r="120">
          <cell r="A120" t="str">
            <v>Ricardo Peña 3 4K max</v>
          </cell>
          <cell r="B120">
            <v>61</v>
          </cell>
          <cell r="C120">
            <v>45119</v>
          </cell>
          <cell r="D120" t="str">
            <v>Fire TV 4K MAX</v>
          </cell>
          <cell r="E120" t="str">
            <v xml:space="preserve">Amazon </v>
          </cell>
          <cell r="F120" t="str">
            <v>G071R20930550Q7U</v>
          </cell>
        </row>
        <row r="121">
          <cell r="A121" t="str">
            <v>Lucia 4K max</v>
          </cell>
          <cell r="B121">
            <v>62</v>
          </cell>
          <cell r="C121">
            <v>45119</v>
          </cell>
          <cell r="D121" t="str">
            <v>Fire TV 4K MAX</v>
          </cell>
          <cell r="E121" t="str">
            <v xml:space="preserve">Amazon </v>
          </cell>
          <cell r="F121" t="str">
            <v>G071R20930550PP1</v>
          </cell>
        </row>
        <row r="122">
          <cell r="A122" t="str">
            <v>Mario Ortiz4K</v>
          </cell>
          <cell r="B122">
            <v>63</v>
          </cell>
          <cell r="C122">
            <v>45119</v>
          </cell>
          <cell r="D122" t="str">
            <v>Fire TV 4K MAX</v>
          </cell>
          <cell r="E122" t="str">
            <v xml:space="preserve">Amazon </v>
          </cell>
          <cell r="F122" t="str">
            <v>G071R20930550NMU</v>
          </cell>
        </row>
        <row r="123">
          <cell r="A123" t="str">
            <v>Kaleth4k</v>
          </cell>
          <cell r="B123">
            <v>64</v>
          </cell>
          <cell r="C123">
            <v>45118</v>
          </cell>
          <cell r="D123" t="str">
            <v>Fire TV 4K</v>
          </cell>
          <cell r="E123" t="str">
            <v xml:space="preserve">Amazon </v>
          </cell>
          <cell r="F123" t="str">
            <v>G4N0VM143155032D</v>
          </cell>
        </row>
        <row r="124">
          <cell r="A124" t="str">
            <v>Diana Rojas4K</v>
          </cell>
          <cell r="B124">
            <v>65</v>
          </cell>
          <cell r="C124">
            <v>45118</v>
          </cell>
          <cell r="D124" t="str">
            <v>Fire TV 4K</v>
          </cell>
          <cell r="E124" t="str">
            <v xml:space="preserve">Amazon </v>
          </cell>
          <cell r="F124" t="str">
            <v>G4N0VM143155003G</v>
          </cell>
        </row>
        <row r="125">
          <cell r="A125" t="str">
            <v>Jan Garcia4K</v>
          </cell>
          <cell r="B125">
            <v>66</v>
          </cell>
          <cell r="C125">
            <v>45118</v>
          </cell>
          <cell r="D125" t="str">
            <v>Fire TV 4K</v>
          </cell>
          <cell r="E125" t="str">
            <v xml:space="preserve">Amazon </v>
          </cell>
          <cell r="F125" t="str">
            <v>G070VM2631670QKQ</v>
          </cell>
        </row>
        <row r="126">
          <cell r="A126" t="str">
            <v>Jan 2 HD</v>
          </cell>
          <cell r="B126">
            <v>67</v>
          </cell>
          <cell r="C126">
            <v>45118</v>
          </cell>
          <cell r="D126" t="str">
            <v>Fire TV HD</v>
          </cell>
          <cell r="E126" t="str">
            <v xml:space="preserve">Amazon </v>
          </cell>
          <cell r="F126" t="str">
            <v>G071EL1731130CLL</v>
          </cell>
        </row>
        <row r="127">
          <cell r="A127" t="str">
            <v>Oscar EscobarHD</v>
          </cell>
          <cell r="B127">
            <v>68</v>
          </cell>
          <cell r="C127">
            <v>45118</v>
          </cell>
          <cell r="D127" t="str">
            <v>Fire TV HD</v>
          </cell>
          <cell r="E127" t="str">
            <v xml:space="preserve">Amazon </v>
          </cell>
          <cell r="F127" t="str">
            <v>G071EL1731130CLU</v>
          </cell>
        </row>
        <row r="128">
          <cell r="A128" t="str">
            <v>Rosemary James 2 HD</v>
          </cell>
          <cell r="B128">
            <v>69</v>
          </cell>
          <cell r="C128">
            <v>45118</v>
          </cell>
          <cell r="D128" t="str">
            <v>Fire TV HD</v>
          </cell>
          <cell r="E128" t="str">
            <v xml:space="preserve">Amazon </v>
          </cell>
          <cell r="F128" t="str">
            <v>G071EL1731130CLT</v>
          </cell>
        </row>
        <row r="129">
          <cell r="B129">
            <v>70</v>
          </cell>
          <cell r="C129">
            <v>45042</v>
          </cell>
          <cell r="D129" t="str">
            <v>Fire TV LITE</v>
          </cell>
          <cell r="E129" t="str">
            <v xml:space="preserve">Amazon </v>
          </cell>
          <cell r="F129" t="str">
            <v>G071CQ13203205AG</v>
          </cell>
        </row>
        <row r="130">
          <cell r="B130">
            <v>71</v>
          </cell>
          <cell r="C130">
            <v>45042</v>
          </cell>
          <cell r="D130" t="str">
            <v>Fire TV LITE</v>
          </cell>
          <cell r="E130" t="str">
            <v xml:space="preserve">Amazon </v>
          </cell>
          <cell r="F130" t="str">
            <v>G071CQ1315041U37</v>
          </cell>
        </row>
        <row r="131">
          <cell r="B131">
            <v>72</v>
          </cell>
          <cell r="C131">
            <v>45042</v>
          </cell>
          <cell r="D131" t="str">
            <v>Fire TV LITE</v>
          </cell>
          <cell r="E131" t="str">
            <v xml:space="preserve">Amazon </v>
          </cell>
          <cell r="F131" t="str">
            <v>G071CQ132032059X</v>
          </cell>
        </row>
        <row r="132">
          <cell r="B132">
            <v>73</v>
          </cell>
          <cell r="C132">
            <v>45042</v>
          </cell>
          <cell r="D132" t="str">
            <v>Fire TV 4K</v>
          </cell>
          <cell r="E132" t="str">
            <v xml:space="preserve">Amazon </v>
          </cell>
          <cell r="F132" t="str">
            <v>G070VM26308404KT</v>
          </cell>
        </row>
        <row r="133">
          <cell r="B133">
            <v>74</v>
          </cell>
          <cell r="C133">
            <v>45042</v>
          </cell>
          <cell r="D133" t="str">
            <v>Fire TV 4K</v>
          </cell>
          <cell r="E133" t="str">
            <v xml:space="preserve">Amazon </v>
          </cell>
          <cell r="F133" t="str">
            <v>G070VM2630950UCS</v>
          </cell>
        </row>
        <row r="134">
          <cell r="B134">
            <v>75</v>
          </cell>
          <cell r="C134">
            <v>45042</v>
          </cell>
          <cell r="D134" t="str">
            <v>Fire TV 4K</v>
          </cell>
          <cell r="E134" t="str">
            <v xml:space="preserve">Amazon </v>
          </cell>
          <cell r="F134" t="str">
            <v>G070VM26308405S7</v>
          </cell>
        </row>
        <row r="135">
          <cell r="B135">
            <v>76</v>
          </cell>
          <cell r="C135">
            <v>44891</v>
          </cell>
          <cell r="D135" t="str">
            <v>Fire TV LITE</v>
          </cell>
          <cell r="E135" t="str">
            <v xml:space="preserve">Amazon </v>
          </cell>
          <cell r="F135" t="str">
            <v>G071CQ132014027C</v>
          </cell>
        </row>
        <row r="136">
          <cell r="B136">
            <v>77</v>
          </cell>
          <cell r="C136">
            <v>44891</v>
          </cell>
          <cell r="D136" t="str">
            <v>Fire TV LITE</v>
          </cell>
          <cell r="E136" t="str">
            <v xml:space="preserve">Amazon </v>
          </cell>
          <cell r="F136" t="str">
            <v>G071CQ13202518CP</v>
          </cell>
        </row>
        <row r="137">
          <cell r="B137">
            <v>78</v>
          </cell>
          <cell r="C137">
            <v>44891</v>
          </cell>
          <cell r="D137" t="str">
            <v>Fire TV LITE</v>
          </cell>
          <cell r="E137" t="str">
            <v xml:space="preserve">Amazon </v>
          </cell>
          <cell r="F137" t="str">
            <v>G071CQ13202510TE</v>
          </cell>
        </row>
        <row r="138">
          <cell r="A138" t="str">
            <v>Daniela 2</v>
          </cell>
          <cell r="B138">
            <v>79</v>
          </cell>
          <cell r="C138">
            <v>44891</v>
          </cell>
          <cell r="D138" t="str">
            <v>Fire TV HD</v>
          </cell>
          <cell r="E138" t="str">
            <v xml:space="preserve">Amazon </v>
          </cell>
          <cell r="F138" t="str">
            <v>G071EL16237208H8</v>
          </cell>
        </row>
        <row r="139">
          <cell r="B139">
            <v>80</v>
          </cell>
          <cell r="C139">
            <v>44891</v>
          </cell>
          <cell r="D139" t="str">
            <v>Fire TV HD</v>
          </cell>
          <cell r="E139" t="str">
            <v xml:space="preserve">Amazon </v>
          </cell>
          <cell r="F139" t="str">
            <v>G071EL1623650XTQ</v>
          </cell>
        </row>
        <row r="140">
          <cell r="B140">
            <v>81</v>
          </cell>
          <cell r="C140">
            <v>44891</v>
          </cell>
          <cell r="D140" t="str">
            <v>Fire TV HD</v>
          </cell>
          <cell r="E140" t="str">
            <v xml:space="preserve">Amazon </v>
          </cell>
          <cell r="F140" t="str">
            <v>G071EL1623720HWV</v>
          </cell>
        </row>
        <row r="141">
          <cell r="B141">
            <v>82</v>
          </cell>
          <cell r="C141">
            <v>44891</v>
          </cell>
          <cell r="D141" t="str">
            <v>Fire TV 4K</v>
          </cell>
          <cell r="E141" t="str">
            <v xml:space="preserve">Amazon </v>
          </cell>
          <cell r="F141" t="str">
            <v>G070VM24147209QG</v>
          </cell>
        </row>
        <row r="142">
          <cell r="B142">
            <v>83</v>
          </cell>
          <cell r="C142">
            <v>44891</v>
          </cell>
          <cell r="D142" t="str">
            <v>Fire TV 4K</v>
          </cell>
          <cell r="E142" t="str">
            <v xml:space="preserve">Amazon </v>
          </cell>
          <cell r="F142" t="str">
            <v>G070VM2422521TAN</v>
          </cell>
        </row>
        <row r="143">
          <cell r="B143">
            <v>84</v>
          </cell>
          <cell r="C143">
            <v>44891</v>
          </cell>
          <cell r="D143" t="str">
            <v>Fire TV 4K</v>
          </cell>
          <cell r="E143" t="str">
            <v xml:space="preserve">Amazon </v>
          </cell>
          <cell r="F143" t="str">
            <v>G070VM2420771MS4</v>
          </cell>
        </row>
        <row r="144">
          <cell r="B144">
            <v>85</v>
          </cell>
          <cell r="C144">
            <v>44883</v>
          </cell>
          <cell r="D144" t="str">
            <v>Fire TV 4K</v>
          </cell>
          <cell r="E144" t="str">
            <v xml:space="preserve">Amazon </v>
          </cell>
          <cell r="F144" t="str">
            <v>G070VM2422250W5U</v>
          </cell>
        </row>
        <row r="145">
          <cell r="B145">
            <v>86</v>
          </cell>
          <cell r="C145">
            <v>44883</v>
          </cell>
          <cell r="D145" t="str">
            <v>Fire TV 4K</v>
          </cell>
          <cell r="E145" t="str">
            <v xml:space="preserve">Amazon </v>
          </cell>
          <cell r="F145" t="str">
            <v>G070VM2422250W5S</v>
          </cell>
        </row>
        <row r="146">
          <cell r="B146">
            <v>87</v>
          </cell>
          <cell r="C146">
            <v>44837</v>
          </cell>
          <cell r="D146" t="str">
            <v>Fire TV 4K</v>
          </cell>
          <cell r="E146" t="str">
            <v xml:space="preserve">Amazon </v>
          </cell>
          <cell r="F146" t="str">
            <v>G070VM2422170U9V</v>
          </cell>
        </row>
        <row r="147">
          <cell r="B147">
            <v>88</v>
          </cell>
          <cell r="C147">
            <v>44837</v>
          </cell>
          <cell r="D147" t="str">
            <v>Fire TV 4K</v>
          </cell>
          <cell r="E147" t="str">
            <v xml:space="preserve">Amazon </v>
          </cell>
          <cell r="F147" t="str">
            <v>G070VM2422770KN9</v>
          </cell>
        </row>
        <row r="148">
          <cell r="B148">
            <v>89</v>
          </cell>
          <cell r="C148">
            <v>44837</v>
          </cell>
          <cell r="D148" t="str">
            <v>Fire TV 4K</v>
          </cell>
          <cell r="E148" t="str">
            <v xml:space="preserve">Amazon </v>
          </cell>
          <cell r="F148" t="str">
            <v>G070VM2414761BWW</v>
          </cell>
        </row>
        <row r="149">
          <cell r="B149">
            <v>90</v>
          </cell>
          <cell r="C149">
            <v>44837</v>
          </cell>
          <cell r="D149" t="str">
            <v>Fire TV HD</v>
          </cell>
          <cell r="E149" t="str">
            <v xml:space="preserve">Amazon </v>
          </cell>
          <cell r="F149" t="str">
            <v>G4N1EL092326048M</v>
          </cell>
        </row>
        <row r="150">
          <cell r="B150">
            <v>91</v>
          </cell>
          <cell r="C150">
            <v>44837</v>
          </cell>
          <cell r="D150" t="str">
            <v>Fire TV HD</v>
          </cell>
          <cell r="E150" t="str">
            <v xml:space="preserve">Amazon </v>
          </cell>
          <cell r="F150" t="str">
            <v>G4N1EL0923450QGK</v>
          </cell>
        </row>
        <row r="151">
          <cell r="B151">
            <v>92</v>
          </cell>
          <cell r="C151">
            <v>44837</v>
          </cell>
          <cell r="D151" t="str">
            <v>Fire TV HD</v>
          </cell>
          <cell r="E151" t="str">
            <v xml:space="preserve">Amazon </v>
          </cell>
          <cell r="F151" t="str">
            <v>G4N1EL092326046D</v>
          </cell>
        </row>
        <row r="152">
          <cell r="B152">
            <v>93</v>
          </cell>
          <cell r="C152">
            <v>44816</v>
          </cell>
          <cell r="D152" t="str">
            <v>Fire TV 4K</v>
          </cell>
          <cell r="E152" t="str">
            <v xml:space="preserve">Amazon </v>
          </cell>
          <cell r="F152" t="str">
            <v>G070VM24223207HQ</v>
          </cell>
        </row>
        <row r="153">
          <cell r="B153">
            <v>94</v>
          </cell>
          <cell r="C153">
            <v>44816</v>
          </cell>
          <cell r="D153" t="str">
            <v>Fire TV 4K</v>
          </cell>
          <cell r="E153" t="str">
            <v xml:space="preserve">Amazon </v>
          </cell>
          <cell r="F153" t="str">
            <v>G070VM2422251201</v>
          </cell>
        </row>
        <row r="154">
          <cell r="B154">
            <v>95</v>
          </cell>
          <cell r="C154">
            <v>44816</v>
          </cell>
          <cell r="D154" t="str">
            <v>Fire TV 4K</v>
          </cell>
          <cell r="E154" t="str">
            <v xml:space="preserve">Amazon </v>
          </cell>
          <cell r="F154" t="str">
            <v>G070VM242232007F</v>
          </cell>
        </row>
        <row r="155">
          <cell r="B155">
            <v>96</v>
          </cell>
          <cell r="C155">
            <v>44798</v>
          </cell>
          <cell r="D155" t="str">
            <v>Fire TV 4K</v>
          </cell>
          <cell r="E155" t="str">
            <v xml:space="preserve">Amazon </v>
          </cell>
          <cell r="F155" t="str">
            <v>G070VM2420760E16</v>
          </cell>
        </row>
        <row r="156">
          <cell r="B156">
            <v>97</v>
          </cell>
          <cell r="C156">
            <v>44798</v>
          </cell>
          <cell r="D156" t="str">
            <v>Fire TV 4K</v>
          </cell>
          <cell r="E156" t="str">
            <v xml:space="preserve">Amazon </v>
          </cell>
          <cell r="F156" t="str">
            <v>G070VM2420760B5V</v>
          </cell>
        </row>
        <row r="157">
          <cell r="B157">
            <v>98</v>
          </cell>
          <cell r="C157">
            <v>44798</v>
          </cell>
          <cell r="D157" t="str">
            <v>Fire TV 4K</v>
          </cell>
          <cell r="E157" t="str">
            <v xml:space="preserve">Amazon </v>
          </cell>
          <cell r="F157" t="str">
            <v>G070VM2420760651</v>
          </cell>
        </row>
        <row r="158">
          <cell r="A158" t="str">
            <v>Gimena 4k 2gen</v>
          </cell>
          <cell r="B158">
            <v>99</v>
          </cell>
          <cell r="C158">
            <v>44652</v>
          </cell>
          <cell r="D158" t="str">
            <v>Fire TV HD</v>
          </cell>
          <cell r="E158" t="str">
            <v>Externo</v>
          </cell>
        </row>
        <row r="159">
          <cell r="A159" t="str">
            <v>Casallas 4k 2gen 1-2</v>
          </cell>
          <cell r="B159">
            <v>100</v>
          </cell>
          <cell r="C159">
            <v>44652</v>
          </cell>
          <cell r="D159" t="str">
            <v>Fire TV HD</v>
          </cell>
          <cell r="E159" t="str">
            <v>Externo</v>
          </cell>
        </row>
        <row r="160">
          <cell r="A160" t="str">
            <v>Harold rita-iba 2 fire 4K</v>
          </cell>
          <cell r="B160">
            <v>101</v>
          </cell>
          <cell r="C160">
            <v>44652</v>
          </cell>
          <cell r="D160" t="str">
            <v>Fire TV HD</v>
          </cell>
          <cell r="E160" t="str">
            <v>Externo</v>
          </cell>
        </row>
        <row r="161">
          <cell r="A161" t="str">
            <v>Carolina4k 3gen</v>
          </cell>
          <cell r="B161">
            <v>102</v>
          </cell>
          <cell r="C161">
            <v>44621</v>
          </cell>
          <cell r="D161" t="str">
            <v>Fire TV 4K</v>
          </cell>
          <cell r="E161" t="str">
            <v>Externo</v>
          </cell>
        </row>
        <row r="162">
          <cell r="A162" t="str">
            <v>Tintin4k 3gen</v>
          </cell>
          <cell r="B162">
            <v>103</v>
          </cell>
          <cell r="C162">
            <v>44621</v>
          </cell>
          <cell r="D162" t="str">
            <v>Fire TV 4K</v>
          </cell>
          <cell r="E162" t="str">
            <v>Externo</v>
          </cell>
        </row>
        <row r="163">
          <cell r="A163" t="str">
            <v>Jolmanve_4k 3gen</v>
          </cell>
          <cell r="B163">
            <v>104</v>
          </cell>
          <cell r="C163">
            <v>44621</v>
          </cell>
          <cell r="D163" t="str">
            <v>Fire TV 4K</v>
          </cell>
          <cell r="E163" t="str">
            <v>Externo</v>
          </cell>
        </row>
        <row r="164">
          <cell r="A164" t="str">
            <v>Sandrita 4Kgen</v>
          </cell>
          <cell r="B164">
            <v>105</v>
          </cell>
          <cell r="C164">
            <v>44621</v>
          </cell>
          <cell r="D164" t="str">
            <v>Fire TV 4K</v>
          </cell>
          <cell r="E164" t="str">
            <v>Externo</v>
          </cell>
        </row>
        <row r="165">
          <cell r="A165" t="str">
            <v>Fermin lite</v>
          </cell>
          <cell r="B165">
            <v>106</v>
          </cell>
          <cell r="C165">
            <v>44593</v>
          </cell>
          <cell r="D165" t="str">
            <v>Fire TV LITE</v>
          </cell>
          <cell r="E165" t="str">
            <v>Externo</v>
          </cell>
        </row>
        <row r="166">
          <cell r="A166" t="str">
            <v>James_4k 2gen</v>
          </cell>
          <cell r="B166">
            <v>107</v>
          </cell>
          <cell r="C166">
            <v>44593</v>
          </cell>
          <cell r="D166" t="str">
            <v>Fire TV HD</v>
          </cell>
          <cell r="E166" t="str">
            <v>Externo</v>
          </cell>
        </row>
        <row r="167">
          <cell r="A167" t="str">
            <v>Javier_Rod_1 4k 3gen</v>
          </cell>
          <cell r="B167">
            <v>108</v>
          </cell>
          <cell r="C167">
            <v>44593</v>
          </cell>
          <cell r="D167" t="str">
            <v>Fire TV 4K</v>
          </cell>
          <cell r="E167" t="str">
            <v>Externo</v>
          </cell>
        </row>
        <row r="168">
          <cell r="A168" t="str">
            <v>Willy 2 4k 3gen</v>
          </cell>
          <cell r="B168">
            <v>109</v>
          </cell>
          <cell r="C168">
            <v>44593</v>
          </cell>
          <cell r="D168" t="str">
            <v>Fire TV 4K</v>
          </cell>
          <cell r="E168" t="str">
            <v>Externo</v>
          </cell>
        </row>
        <row r="169">
          <cell r="A169" t="str">
            <v>Willy 4k 2gen</v>
          </cell>
          <cell r="B169">
            <v>110</v>
          </cell>
          <cell r="C169">
            <v>44593</v>
          </cell>
          <cell r="D169" t="str">
            <v>Fire TV HD</v>
          </cell>
          <cell r="E169" t="str">
            <v>Externo</v>
          </cell>
        </row>
        <row r="170">
          <cell r="A170" t="str">
            <v>Jodman LITE</v>
          </cell>
          <cell r="B170">
            <v>111</v>
          </cell>
          <cell r="C170">
            <v>44562</v>
          </cell>
          <cell r="D170" t="str">
            <v>Fire TV LITE</v>
          </cell>
          <cell r="E170" t="str">
            <v>Externo</v>
          </cell>
        </row>
        <row r="171">
          <cell r="A171" t="str">
            <v>Mery 3G</v>
          </cell>
          <cell r="B171">
            <v>112</v>
          </cell>
          <cell r="C171">
            <v>44562</v>
          </cell>
          <cell r="D171" t="str">
            <v>Fire TV HD</v>
          </cell>
          <cell r="E171" t="str">
            <v>Externo</v>
          </cell>
        </row>
        <row r="172">
          <cell r="A172" t="str">
            <v>Rodrigo 1 4k</v>
          </cell>
          <cell r="B172">
            <v>113</v>
          </cell>
          <cell r="C172">
            <v>44562</v>
          </cell>
          <cell r="D172" t="str">
            <v>Fire TV 4K</v>
          </cell>
          <cell r="E172" t="str">
            <v>Externo</v>
          </cell>
        </row>
        <row r="173">
          <cell r="A173" t="str">
            <v>Rodrigo 2 _4k</v>
          </cell>
          <cell r="B173">
            <v>114</v>
          </cell>
          <cell r="C173">
            <v>44562</v>
          </cell>
          <cell r="D173" t="str">
            <v>Fire TV 4K</v>
          </cell>
          <cell r="E173" t="str">
            <v>Externo</v>
          </cell>
        </row>
        <row r="174">
          <cell r="A174" t="str">
            <v>Kike 4K</v>
          </cell>
          <cell r="B174">
            <v>115</v>
          </cell>
          <cell r="C174">
            <v>44552</v>
          </cell>
          <cell r="D174" t="str">
            <v>FireTV4K  (Restaurado)</v>
          </cell>
          <cell r="E174" t="str">
            <v xml:space="preserve">Amazon </v>
          </cell>
          <cell r="F174" t="str">
            <v>G070VM2213521UG7</v>
          </cell>
        </row>
        <row r="175">
          <cell r="A175" t="str">
            <v>pipe 4K</v>
          </cell>
          <cell r="B175">
            <v>116</v>
          </cell>
          <cell r="C175">
            <v>44552</v>
          </cell>
          <cell r="D175" t="str">
            <v>FireTV4K  (Restaurado)</v>
          </cell>
          <cell r="E175" t="str">
            <v xml:space="preserve">Amazon </v>
          </cell>
          <cell r="F175" t="str">
            <v>G070VM241406216U</v>
          </cell>
        </row>
        <row r="176">
          <cell r="A176" t="str">
            <v>xiomy 4K</v>
          </cell>
          <cell r="B176">
            <v>117</v>
          </cell>
          <cell r="C176">
            <v>44552</v>
          </cell>
          <cell r="D176" t="str">
            <v>FireTV4K  (Restaurado)</v>
          </cell>
          <cell r="E176" t="str">
            <v xml:space="preserve">Amazon </v>
          </cell>
          <cell r="F176" t="str">
            <v>G4N0VM0812940KU0</v>
          </cell>
        </row>
        <row r="177">
          <cell r="A177" t="str">
            <v>Silvia</v>
          </cell>
          <cell r="B177">
            <v>118</v>
          </cell>
          <cell r="C177">
            <v>44552</v>
          </cell>
          <cell r="D177" t="str">
            <v>FireTV4K  (Restaurado)</v>
          </cell>
          <cell r="E177" t="str">
            <v xml:space="preserve">Amazon </v>
          </cell>
          <cell r="F177" t="str">
            <v>G070VM2414061WVG</v>
          </cell>
        </row>
        <row r="178">
          <cell r="A178" t="str">
            <v>Cristian Bernal 4K</v>
          </cell>
          <cell r="B178">
            <v>119</v>
          </cell>
          <cell r="C178">
            <v>44883</v>
          </cell>
          <cell r="D178" t="str">
            <v>Fire TV 4K</v>
          </cell>
          <cell r="E178" t="str">
            <v xml:space="preserve">Amazon </v>
          </cell>
          <cell r="F178" t="str">
            <v>G070VM2422250W62</v>
          </cell>
        </row>
        <row r="184">
          <cell r="A184">
            <v>0</v>
          </cell>
          <cell r="B184">
            <v>1</v>
          </cell>
          <cell r="D184" t="str">
            <v>Echo Dot con reloj 5 Gen 2022</v>
          </cell>
        </row>
        <row r="185">
          <cell r="B185">
            <v>2</v>
          </cell>
          <cell r="D185" t="str">
            <v>Echo Dot con reloj 5 Gen 2022</v>
          </cell>
        </row>
        <row r="186">
          <cell r="B186">
            <v>3</v>
          </cell>
          <cell r="D186" t="str">
            <v>Echo Dot 5 Gen 2022</v>
          </cell>
        </row>
        <row r="187">
          <cell r="B187">
            <v>4</v>
          </cell>
          <cell r="D187" t="str">
            <v>Echo Dot 5 Gen 2022</v>
          </cell>
        </row>
        <row r="188">
          <cell r="A188">
            <v>0</v>
          </cell>
          <cell r="B188">
            <v>5</v>
          </cell>
          <cell r="D188" t="str">
            <v>Echo Dot 3 Gen</v>
          </cell>
        </row>
        <row r="189">
          <cell r="A189">
            <v>80000</v>
          </cell>
          <cell r="B189">
            <v>6</v>
          </cell>
          <cell r="D189" t="str">
            <v>Echo Dot 3 Gen</v>
          </cell>
        </row>
        <row r="190">
          <cell r="B190">
            <v>7</v>
          </cell>
          <cell r="D190" t="str">
            <v>Echo Dot 3 Gen</v>
          </cell>
        </row>
        <row r="191">
          <cell r="B191">
            <v>8</v>
          </cell>
          <cell r="D191" t="str">
            <v>Echo Dot 3 Gen</v>
          </cell>
        </row>
        <row r="192">
          <cell r="B192">
            <v>9</v>
          </cell>
          <cell r="D192" t="str">
            <v>Condensador SEIKO 3023,5MY</v>
          </cell>
        </row>
        <row r="193">
          <cell r="B193">
            <v>10</v>
          </cell>
          <cell r="D193" t="str">
            <v>Impuestos</v>
          </cell>
        </row>
        <row r="202">
          <cell r="A202" t="str">
            <v>Debe</v>
          </cell>
          <cell r="D202" t="str">
            <v xml:space="preserve">Descripcion </v>
          </cell>
        </row>
        <row r="203">
          <cell r="D203" t="str">
            <v>FireTV4K</v>
          </cell>
        </row>
        <row r="204">
          <cell r="D204" t="str">
            <v>FireTV4K</v>
          </cell>
        </row>
        <row r="205">
          <cell r="D205" t="str">
            <v>FireTV4K</v>
          </cell>
        </row>
        <row r="206">
          <cell r="D206" t="str">
            <v>Impuestos</v>
          </cell>
        </row>
        <row r="214">
          <cell r="A214" t="str">
            <v>Debe</v>
          </cell>
          <cell r="D214" t="str">
            <v xml:space="preserve">Descripcion </v>
          </cell>
        </row>
        <row r="215">
          <cell r="D215" t="str">
            <v>Echo Dot 4 Gen 2022</v>
          </cell>
        </row>
        <row r="216">
          <cell r="D216" t="str">
            <v>bombilla inteligente</v>
          </cell>
        </row>
        <row r="217">
          <cell r="D217" t="str">
            <v>FireTV lite</v>
          </cell>
        </row>
        <row r="218">
          <cell r="D218" t="str">
            <v>FireTV lite</v>
          </cell>
        </row>
        <row r="219">
          <cell r="D219" t="str">
            <v>FireTV lite</v>
          </cell>
        </row>
        <row r="220">
          <cell r="D220" t="str">
            <v>FireTV HD</v>
          </cell>
        </row>
        <row r="221">
          <cell r="D221" t="str">
            <v>FireTV HD</v>
          </cell>
        </row>
        <row r="222">
          <cell r="D222" t="str">
            <v>FireTV HD</v>
          </cell>
        </row>
        <row r="223">
          <cell r="D223" t="str">
            <v>FireTV 4K</v>
          </cell>
        </row>
        <row r="224">
          <cell r="D224" t="str">
            <v>FireTV 4K</v>
          </cell>
        </row>
        <row r="225">
          <cell r="D225" t="str">
            <v>FireTV 4K</v>
          </cell>
        </row>
        <row r="226">
          <cell r="D226" t="str">
            <v>Impuestos</v>
          </cell>
        </row>
        <row r="233">
          <cell r="A233" t="str">
            <v>Debe</v>
          </cell>
          <cell r="D233" t="str">
            <v xml:space="preserve">Descripcion </v>
          </cell>
        </row>
        <row r="234">
          <cell r="D234" t="str">
            <v>Echo Dot con reloj 5 Gen 2022</v>
          </cell>
        </row>
        <row r="235">
          <cell r="D235" t="str">
            <v>Echo Dot 5 Gen 2022 Blanco</v>
          </cell>
        </row>
        <row r="236">
          <cell r="D236" t="str">
            <v>Echo Dot 5 Gen 2022 Negro</v>
          </cell>
        </row>
        <row r="237">
          <cell r="D237" t="str">
            <v>Echo Dot 5 Gen 2022 Negro</v>
          </cell>
        </row>
        <row r="238">
          <cell r="D238" t="str">
            <v>Echo Dot 5 Gen 2022 Azul</v>
          </cell>
        </row>
        <row r="239">
          <cell r="D239" t="str">
            <v>Echo Dot 3 Gen</v>
          </cell>
        </row>
        <row r="240">
          <cell r="D240" t="str">
            <v>Echo Dot 3 Gen</v>
          </cell>
        </row>
        <row r="241">
          <cell r="D241" t="str">
            <v>Enchufe inteligente 8 uni</v>
          </cell>
        </row>
        <row r="242">
          <cell r="D242" t="str">
            <v>Impuestos</v>
          </cell>
        </row>
        <row r="243">
          <cell r="A243">
            <v>0</v>
          </cell>
        </row>
        <row r="249">
          <cell r="A249" t="str">
            <v>Debe</v>
          </cell>
          <cell r="D249" t="str">
            <v xml:space="preserve">Descripcion </v>
          </cell>
        </row>
        <row r="250">
          <cell r="D250" t="str">
            <v>Condensador SEIKO 3023,5MY</v>
          </cell>
        </row>
        <row r="251">
          <cell r="D251" t="str">
            <v>Bonbillas Inteligentes 4 UNI</v>
          </cell>
        </row>
        <row r="258">
          <cell r="A258" t="str">
            <v>Debe</v>
          </cell>
          <cell r="D258" t="str">
            <v xml:space="preserve">Descripcion </v>
          </cell>
        </row>
        <row r="259">
          <cell r="A259">
            <v>0</v>
          </cell>
          <cell r="D259" t="str">
            <v>Echo Dot 3 Gen</v>
          </cell>
        </row>
        <row r="260">
          <cell r="D260" t="str">
            <v>Echo Dot 3 Gen</v>
          </cell>
        </row>
        <row r="261">
          <cell r="D261" t="str">
            <v>Echo Dot 3 Gen</v>
          </cell>
        </row>
        <row r="262">
          <cell r="A262">
            <v>0</v>
          </cell>
        </row>
        <row r="264">
          <cell r="D264" t="str">
            <v>Impuestos</v>
          </cell>
        </row>
        <row r="273">
          <cell r="A273" t="str">
            <v>Debe</v>
          </cell>
          <cell r="D273" t="str">
            <v xml:space="preserve">Descripcion </v>
          </cell>
        </row>
        <row r="274">
          <cell r="D274" t="str">
            <v>Camara</v>
          </cell>
        </row>
        <row r="284">
          <cell r="D284" t="str">
            <v xml:space="preserve">Descripcion </v>
          </cell>
          <cell r="E284" t="str">
            <v>Unitario</v>
          </cell>
          <cell r="F284" t="str">
            <v>Cantidad</v>
          </cell>
        </row>
        <row r="285">
          <cell r="D285" t="str">
            <v>Pantalla</v>
          </cell>
          <cell r="E285">
            <v>79.989999999999995</v>
          </cell>
          <cell r="F285">
            <v>1</v>
          </cell>
        </row>
        <row r="286">
          <cell r="E286">
            <v>89.97</v>
          </cell>
          <cell r="F286">
            <v>1</v>
          </cell>
        </row>
        <row r="287">
          <cell r="E287">
            <v>89.97</v>
          </cell>
          <cell r="F287">
            <v>1</v>
          </cell>
        </row>
        <row r="288">
          <cell r="E288">
            <v>37.979999999999997</v>
          </cell>
          <cell r="F288">
            <v>1</v>
          </cell>
        </row>
        <row r="289">
          <cell r="E289">
            <v>94.97</v>
          </cell>
          <cell r="F289">
            <v>1</v>
          </cell>
        </row>
        <row r="290">
          <cell r="D290" t="str">
            <v>airpods</v>
          </cell>
          <cell r="E290">
            <v>89.99</v>
          </cell>
          <cell r="F290">
            <v>1</v>
          </cell>
        </row>
        <row r="291">
          <cell r="D291" t="str">
            <v>Libro</v>
          </cell>
          <cell r="E291">
            <v>25.75</v>
          </cell>
          <cell r="F291">
            <v>1</v>
          </cell>
        </row>
        <row r="292">
          <cell r="E292">
            <v>99.97</v>
          </cell>
          <cell r="F292">
            <v>1</v>
          </cell>
        </row>
        <row r="293">
          <cell r="E293">
            <v>155.94</v>
          </cell>
          <cell r="F293">
            <v>1</v>
          </cell>
        </row>
        <row r="295">
          <cell r="F295">
            <v>89.99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0"/>
  <sheetViews>
    <sheetView tabSelected="1" zoomScale="130" zoomScaleNormal="130" workbookViewId="0">
      <pane ySplit="1" topLeftCell="A2" activePane="bottomLeft" state="frozen"/>
      <selection pane="bottomLeft" activeCell="E7" sqref="E7"/>
    </sheetView>
  </sheetViews>
  <sheetFormatPr baseColWidth="10" defaultColWidth="9.140625" defaultRowHeight="15" x14ac:dyDescent="0.25"/>
  <cols>
    <col min="1" max="1" width="7.5703125" style="3" bestFit="1" customWidth="1"/>
    <col min="2" max="2" width="12.28515625" style="3" bestFit="1" customWidth="1"/>
    <col min="3" max="3" width="11.42578125" style="3" bestFit="1" customWidth="1"/>
    <col min="4" max="4" width="16.28515625" style="3" bestFit="1" customWidth="1"/>
    <col min="5" max="5" width="16.5703125" style="3" bestFit="1" customWidth="1"/>
    <col min="6" max="6" width="24.5703125" style="3" bestFit="1" customWidth="1"/>
    <col min="7" max="7" width="11.28515625" style="3" bestFit="1" customWidth="1"/>
    <col min="8" max="8" width="5.42578125" style="3" bestFit="1" customWidth="1"/>
    <col min="9" max="9" width="11.42578125" style="3" bestFit="1" customWidth="1"/>
    <col min="10" max="10" width="19.42578125" style="7" bestFit="1" customWidth="1"/>
    <col min="11" max="11" width="13.85546875" style="3" bestFit="1" customWidth="1"/>
    <col min="12" max="12" width="11" style="7" bestFit="1" customWidth="1"/>
    <col min="13" max="13" width="20.140625" style="3" bestFit="1" customWidth="1"/>
    <col min="14" max="16384" width="9.140625" style="3"/>
  </cols>
  <sheetData>
    <row r="1" spans="1:14" x14ac:dyDescent="0.25">
      <c r="A1" s="1" t="s">
        <v>116</v>
      </c>
      <c r="B1" s="1" t="s">
        <v>1</v>
      </c>
      <c r="C1" s="1" t="s">
        <v>6</v>
      </c>
      <c r="D1" s="1" t="s">
        <v>7</v>
      </c>
      <c r="E1" s="1" t="s">
        <v>17</v>
      </c>
      <c r="F1" s="1" t="s">
        <v>12</v>
      </c>
      <c r="G1" s="1" t="s">
        <v>11</v>
      </c>
      <c r="H1" s="1" t="s">
        <v>23</v>
      </c>
      <c r="I1" s="1" t="s">
        <v>24</v>
      </c>
      <c r="J1" s="4" t="s">
        <v>22</v>
      </c>
      <c r="K1" s="1" t="s">
        <v>0</v>
      </c>
      <c r="L1" s="4" t="s">
        <v>26</v>
      </c>
      <c r="M1" s="4" t="s">
        <v>480</v>
      </c>
      <c r="N1" s="4" t="s">
        <v>541</v>
      </c>
    </row>
    <row r="2" spans="1:14" x14ac:dyDescent="0.25">
      <c r="A2" s="3" t="s">
        <v>534</v>
      </c>
      <c r="B2" s="3">
        <v>157</v>
      </c>
      <c r="C2" s="3" t="s">
        <v>21</v>
      </c>
      <c r="D2" s="3" t="s">
        <v>537</v>
      </c>
      <c r="E2" s="3" t="s">
        <v>537</v>
      </c>
      <c r="F2" s="3" t="s">
        <v>493</v>
      </c>
      <c r="G2" s="5">
        <v>46193</v>
      </c>
      <c r="H2" s="6" t="s">
        <v>528</v>
      </c>
      <c r="I2" s="6" t="s">
        <v>76</v>
      </c>
      <c r="J2" s="7">
        <v>130000</v>
      </c>
      <c r="K2" s="2">
        <v>1</v>
      </c>
      <c r="L2" s="7">
        <v>110000</v>
      </c>
      <c r="M2" s="3" t="s">
        <v>540</v>
      </c>
      <c r="N2" s="3" t="s">
        <v>543</v>
      </c>
    </row>
    <row r="3" spans="1:14" x14ac:dyDescent="0.25">
      <c r="A3" s="3" t="s">
        <v>533</v>
      </c>
      <c r="B3" s="3" t="s">
        <v>324</v>
      </c>
      <c r="C3" s="3" t="s">
        <v>21</v>
      </c>
      <c r="D3" s="3" t="s">
        <v>537</v>
      </c>
      <c r="E3" s="3" t="s">
        <v>537</v>
      </c>
      <c r="F3" s="3" t="s">
        <v>539</v>
      </c>
      <c r="G3" s="5">
        <v>46198</v>
      </c>
      <c r="H3" s="6" t="s">
        <v>528</v>
      </c>
      <c r="I3" s="6" t="s">
        <v>76</v>
      </c>
      <c r="J3" s="7">
        <v>0</v>
      </c>
      <c r="K3" s="2">
        <v>1</v>
      </c>
      <c r="L3" s="7">
        <v>110000</v>
      </c>
      <c r="M3" s="3" t="s">
        <v>538</v>
      </c>
      <c r="N3" s="3" t="s">
        <v>543</v>
      </c>
    </row>
    <row r="4" spans="1:14" x14ac:dyDescent="0.25">
      <c r="A4" s="3" t="s">
        <v>532</v>
      </c>
      <c r="B4" s="3">
        <v>267</v>
      </c>
      <c r="C4" s="3" t="s">
        <v>21</v>
      </c>
      <c r="D4" s="3" t="s">
        <v>50</v>
      </c>
      <c r="E4" s="3" t="s">
        <v>511</v>
      </c>
      <c r="F4" s="3" t="s">
        <v>535</v>
      </c>
      <c r="G4" s="5">
        <v>46078</v>
      </c>
      <c r="H4" s="6" t="s">
        <v>528</v>
      </c>
      <c r="I4" s="6" t="s">
        <v>536</v>
      </c>
      <c r="J4" s="7">
        <v>170000</v>
      </c>
      <c r="K4" s="2">
        <v>1</v>
      </c>
      <c r="L4" s="7">
        <v>163869.30605950369</v>
      </c>
      <c r="M4" s="3" t="s">
        <v>520</v>
      </c>
      <c r="N4" s="3" t="s">
        <v>543</v>
      </c>
    </row>
    <row r="5" spans="1:14" x14ac:dyDescent="0.25">
      <c r="A5" s="3" t="s">
        <v>527</v>
      </c>
      <c r="B5" s="3">
        <v>267</v>
      </c>
      <c r="C5" s="3" t="s">
        <v>21</v>
      </c>
      <c r="D5" s="3" t="s">
        <v>8</v>
      </c>
      <c r="E5" s="3" t="s">
        <v>18</v>
      </c>
      <c r="F5" s="3" t="s">
        <v>535</v>
      </c>
      <c r="G5" s="5">
        <v>46047</v>
      </c>
      <c r="H5" s="6" t="s">
        <v>528</v>
      </c>
      <c r="I5" s="6" t="s">
        <v>25</v>
      </c>
      <c r="J5" s="7">
        <v>170000</v>
      </c>
      <c r="K5" s="2">
        <v>1</v>
      </c>
      <c r="L5" s="7">
        <v>113986.64363691481</v>
      </c>
      <c r="M5" s="3" t="s">
        <v>521</v>
      </c>
      <c r="N5" s="3" t="s">
        <v>543</v>
      </c>
    </row>
    <row r="6" spans="1:14" x14ac:dyDescent="0.25">
      <c r="A6" s="3" t="s">
        <v>526</v>
      </c>
      <c r="B6" s="3">
        <v>128</v>
      </c>
      <c r="C6" s="3" t="s">
        <v>21</v>
      </c>
      <c r="D6" s="3" t="s">
        <v>530</v>
      </c>
      <c r="E6" s="3" t="s">
        <v>530</v>
      </c>
      <c r="F6" s="3" t="s">
        <v>529</v>
      </c>
      <c r="G6" s="9">
        <v>46123</v>
      </c>
      <c r="H6" s="6" t="s">
        <v>528</v>
      </c>
      <c r="I6" s="6" t="s">
        <v>60</v>
      </c>
      <c r="J6" s="7">
        <v>120000</v>
      </c>
      <c r="K6" s="2">
        <v>1</v>
      </c>
      <c r="L6" s="7">
        <v>90000</v>
      </c>
      <c r="M6" s="3" t="s">
        <v>531</v>
      </c>
      <c r="N6" s="3" t="s">
        <v>543</v>
      </c>
    </row>
    <row r="7" spans="1:14" x14ac:dyDescent="0.25">
      <c r="A7" s="3" t="s">
        <v>525</v>
      </c>
      <c r="B7" s="3" t="s">
        <v>343</v>
      </c>
      <c r="C7" s="3" t="s">
        <v>21</v>
      </c>
      <c r="D7" s="3" t="s">
        <v>50</v>
      </c>
      <c r="E7" s="3" t="s">
        <v>511</v>
      </c>
      <c r="F7" s="3" t="s">
        <v>512</v>
      </c>
      <c r="G7" s="9">
        <v>46101</v>
      </c>
      <c r="H7" s="6" t="s">
        <v>528</v>
      </c>
      <c r="I7" s="6" t="s">
        <v>44</v>
      </c>
      <c r="J7" s="7">
        <v>210000</v>
      </c>
      <c r="K7" s="2">
        <v>1</v>
      </c>
      <c r="L7" s="7">
        <v>157398.46928839377</v>
      </c>
      <c r="M7" s="3" t="s">
        <v>515</v>
      </c>
      <c r="N7" s="3" t="s">
        <v>543</v>
      </c>
    </row>
    <row r="8" spans="1:14" x14ac:dyDescent="0.25">
      <c r="A8" s="3" t="s">
        <v>524</v>
      </c>
      <c r="B8" s="8">
        <v>192</v>
      </c>
      <c r="C8" s="3" t="s">
        <v>21</v>
      </c>
      <c r="D8" s="3" t="s">
        <v>9</v>
      </c>
      <c r="E8" s="3" t="s">
        <v>19</v>
      </c>
      <c r="F8" s="3" t="s">
        <v>513</v>
      </c>
      <c r="G8" s="5">
        <v>46184</v>
      </c>
      <c r="H8" s="6" t="s">
        <v>528</v>
      </c>
      <c r="I8" s="6" t="s">
        <v>76</v>
      </c>
      <c r="J8" s="7">
        <v>170000</v>
      </c>
      <c r="K8" s="2">
        <v>1</v>
      </c>
      <c r="L8" s="7">
        <v>87500</v>
      </c>
      <c r="M8" s="3" t="s">
        <v>516</v>
      </c>
      <c r="N8" s="3" t="s">
        <v>543</v>
      </c>
    </row>
    <row r="9" spans="1:14" x14ac:dyDescent="0.25">
      <c r="A9" s="3" t="s">
        <v>523</v>
      </c>
      <c r="B9" s="8">
        <v>192</v>
      </c>
      <c r="C9" s="3" t="s">
        <v>21</v>
      </c>
      <c r="D9" s="3" t="s">
        <v>9</v>
      </c>
      <c r="E9" s="3" t="s">
        <v>19</v>
      </c>
      <c r="F9" s="3" t="s">
        <v>514</v>
      </c>
      <c r="G9" s="5">
        <v>46033</v>
      </c>
      <c r="H9" s="6" t="s">
        <v>528</v>
      </c>
      <c r="I9" s="6" t="s">
        <v>25</v>
      </c>
      <c r="J9" s="7">
        <v>170000</v>
      </c>
      <c r="K9" s="2">
        <v>1</v>
      </c>
      <c r="L9" s="7">
        <v>87500</v>
      </c>
      <c r="M9" s="3" t="s">
        <v>517</v>
      </c>
      <c r="N9" s="3" t="s">
        <v>543</v>
      </c>
    </row>
    <row r="10" spans="1:14" x14ac:dyDescent="0.25">
      <c r="A10" s="3" t="s">
        <v>509</v>
      </c>
      <c r="B10" s="3">
        <v>231</v>
      </c>
      <c r="C10" s="3" t="s">
        <v>21</v>
      </c>
      <c r="D10" s="3" t="s">
        <v>9</v>
      </c>
      <c r="E10" s="3" t="s">
        <v>19</v>
      </c>
      <c r="F10" s="3" t="s">
        <v>510</v>
      </c>
      <c r="G10" s="5">
        <v>45991</v>
      </c>
      <c r="H10" s="6" t="s">
        <v>477</v>
      </c>
      <c r="I10" s="6" t="s">
        <v>269</v>
      </c>
      <c r="J10" s="7">
        <v>170000</v>
      </c>
      <c r="K10" s="2">
        <v>1</v>
      </c>
      <c r="L10" s="7">
        <v>145668.19555555555</v>
      </c>
      <c r="M10" s="3" t="s">
        <v>518</v>
      </c>
      <c r="N10" s="3" t="s">
        <v>543</v>
      </c>
    </row>
    <row r="11" spans="1:14" x14ac:dyDescent="0.25">
      <c r="A11" s="3" t="s">
        <v>508</v>
      </c>
      <c r="B11" s="3">
        <v>231</v>
      </c>
      <c r="C11" s="3" t="s">
        <v>21</v>
      </c>
      <c r="D11" s="3" t="s">
        <v>8</v>
      </c>
      <c r="E11" s="3" t="s">
        <v>18</v>
      </c>
      <c r="F11" s="3" t="str">
        <f>[1]Inventario!$A$24</f>
        <v>Camilo Acevedo</v>
      </c>
      <c r="G11" s="5">
        <v>45966</v>
      </c>
      <c r="H11" s="6" t="s">
        <v>477</v>
      </c>
      <c r="I11" s="6" t="s">
        <v>269</v>
      </c>
      <c r="J11" s="7">
        <v>190000</v>
      </c>
      <c r="K11" s="2">
        <v>1</v>
      </c>
      <c r="L11" s="7">
        <v>113986.64363691481</v>
      </c>
      <c r="M11" s="3" t="s">
        <v>519</v>
      </c>
      <c r="N11" s="3" t="s">
        <v>543</v>
      </c>
    </row>
    <row r="12" spans="1:14" x14ac:dyDescent="0.25">
      <c r="A12" s="3" t="s">
        <v>506</v>
      </c>
      <c r="B12" s="3">
        <v>226</v>
      </c>
      <c r="C12" s="3" t="s">
        <v>21</v>
      </c>
      <c r="D12" s="3" t="s">
        <v>8</v>
      </c>
      <c r="E12" s="3" t="s">
        <v>19</v>
      </c>
      <c r="F12" s="3" t="s">
        <v>507</v>
      </c>
      <c r="G12" s="5">
        <v>45913</v>
      </c>
      <c r="H12" s="6" t="s">
        <v>477</v>
      </c>
      <c r="I12" s="6" t="s">
        <v>115</v>
      </c>
      <c r="J12" s="7">
        <v>170000</v>
      </c>
      <c r="K12" s="2">
        <v>1</v>
      </c>
      <c r="L12" s="7">
        <v>100175.64</v>
      </c>
      <c r="M12" s="3" t="str">
        <f>VLOOKUP(F12,[2]Inventario!$A:$F,6,0)</f>
        <v>G4N1CQ1845130VB5</v>
      </c>
      <c r="N12" s="3" t="s">
        <v>543</v>
      </c>
    </row>
    <row r="13" spans="1:14" x14ac:dyDescent="0.25">
      <c r="A13" s="3" t="s">
        <v>504</v>
      </c>
      <c r="B13" s="3">
        <v>999</v>
      </c>
      <c r="C13" s="3" t="s">
        <v>21</v>
      </c>
      <c r="D13" s="3" t="s">
        <v>8</v>
      </c>
      <c r="E13" s="3" t="s">
        <v>19</v>
      </c>
      <c r="F13" s="3" t="s">
        <v>505</v>
      </c>
      <c r="G13" s="5">
        <v>45891</v>
      </c>
      <c r="H13" s="6" t="s">
        <v>477</v>
      </c>
      <c r="I13" s="6" t="s">
        <v>109</v>
      </c>
      <c r="J13" s="7">
        <v>150000</v>
      </c>
      <c r="K13" s="2">
        <v>1</v>
      </c>
      <c r="L13" s="7">
        <v>88038.725000000006</v>
      </c>
      <c r="M13" s="3" t="str">
        <f>VLOOKUP(F13,[2]Inventario!$A:$F,6,0)</f>
        <v>GT51CQ1851721FEU</v>
      </c>
      <c r="N13" s="3" t="s">
        <v>543</v>
      </c>
    </row>
    <row r="14" spans="1:14" x14ac:dyDescent="0.25">
      <c r="A14" s="3" t="s">
        <v>502</v>
      </c>
      <c r="B14" s="3" t="s">
        <v>63</v>
      </c>
      <c r="C14" s="3" t="s">
        <v>21</v>
      </c>
      <c r="D14" s="3" t="s">
        <v>8</v>
      </c>
      <c r="E14" s="3" t="s">
        <v>18</v>
      </c>
      <c r="F14" s="3" t="s">
        <v>503</v>
      </c>
      <c r="G14" s="5">
        <v>45845</v>
      </c>
      <c r="H14" s="6" t="s">
        <v>477</v>
      </c>
      <c r="I14" s="6" t="s">
        <v>93</v>
      </c>
      <c r="J14" s="7">
        <v>180000</v>
      </c>
      <c r="K14" s="2">
        <v>1</v>
      </c>
      <c r="L14" s="7">
        <v>113986.64363691481</v>
      </c>
      <c r="M14" s="3" t="str">
        <f>VLOOKUP(F14,[2]Inventario!$A:$F,6,0)</f>
        <v>G4N2JN0141440JP9</v>
      </c>
      <c r="N14" s="3" t="s">
        <v>543</v>
      </c>
    </row>
    <row r="15" spans="1:14" x14ac:dyDescent="0.25">
      <c r="A15" s="3" t="s">
        <v>498</v>
      </c>
      <c r="B15" s="3" t="s">
        <v>428</v>
      </c>
      <c r="C15" s="3" t="s">
        <v>21</v>
      </c>
      <c r="D15" s="3" t="s">
        <v>8</v>
      </c>
      <c r="E15" s="3" t="s">
        <v>18</v>
      </c>
      <c r="F15" s="3" t="s">
        <v>500</v>
      </c>
      <c r="G15" s="5">
        <v>45839</v>
      </c>
      <c r="H15" s="6" t="s">
        <v>477</v>
      </c>
      <c r="I15" s="6" t="s">
        <v>93</v>
      </c>
      <c r="J15" s="7">
        <v>190000</v>
      </c>
      <c r="K15" s="2">
        <v>1</v>
      </c>
      <c r="L15" s="7">
        <v>150471.39333333334</v>
      </c>
      <c r="M15" s="3" t="str">
        <f>VLOOKUP(F15,[2]Inventario!$A:$F,6,0)</f>
        <v>G072JN0834721WAS</v>
      </c>
      <c r="N15" s="3" t="s">
        <v>543</v>
      </c>
    </row>
    <row r="16" spans="1:14" x14ac:dyDescent="0.25">
      <c r="A16" s="3" t="s">
        <v>499</v>
      </c>
      <c r="B16" s="3">
        <v>218</v>
      </c>
      <c r="C16" s="3" t="s">
        <v>21</v>
      </c>
      <c r="D16" s="3" t="s">
        <v>9</v>
      </c>
      <c r="E16" s="3" t="s">
        <v>19</v>
      </c>
      <c r="F16" s="3" t="s">
        <v>501</v>
      </c>
      <c r="G16" s="5">
        <v>45835</v>
      </c>
      <c r="H16" s="6" t="s">
        <v>477</v>
      </c>
      <c r="I16" s="6" t="s">
        <v>76</v>
      </c>
      <c r="J16" s="7">
        <v>170000</v>
      </c>
      <c r="K16" s="2">
        <v>1</v>
      </c>
      <c r="L16" s="7">
        <v>99677.64</v>
      </c>
      <c r="M16" s="3" t="str">
        <f>VLOOKUP(F16,[2]Inventario!$A:$F,6,0)</f>
        <v>G4N1CQ1845220DKR</v>
      </c>
      <c r="N16" s="3" t="s">
        <v>543</v>
      </c>
    </row>
    <row r="17" spans="1:14" x14ac:dyDescent="0.25">
      <c r="A17" s="3" t="s">
        <v>495</v>
      </c>
      <c r="B17" s="3" t="s">
        <v>496</v>
      </c>
      <c r="C17" s="3" t="s">
        <v>21</v>
      </c>
      <c r="D17" s="3" t="s">
        <v>8</v>
      </c>
      <c r="E17" s="3" t="s">
        <v>18</v>
      </c>
      <c r="F17" s="3" t="s">
        <v>497</v>
      </c>
      <c r="G17" s="5">
        <v>45799</v>
      </c>
      <c r="H17" s="6" t="s">
        <v>477</v>
      </c>
      <c r="I17" s="6" t="s">
        <v>61</v>
      </c>
      <c r="J17" s="7">
        <v>190000</v>
      </c>
      <c r="K17" s="2">
        <v>1</v>
      </c>
      <c r="L17" s="7">
        <v>113986.64363691481</v>
      </c>
      <c r="M17" s="3" t="str">
        <f>VLOOKUP(F17,[2]Inventario!$A:$F,6,0)</f>
        <v>G4N2JN0141440C87</v>
      </c>
      <c r="N17" s="3" t="s">
        <v>542</v>
      </c>
    </row>
    <row r="18" spans="1:14" x14ac:dyDescent="0.25">
      <c r="A18" s="3" t="s">
        <v>492</v>
      </c>
      <c r="B18" s="3">
        <v>211</v>
      </c>
      <c r="C18" s="3" t="s">
        <v>21</v>
      </c>
      <c r="D18" s="3" t="s">
        <v>50</v>
      </c>
      <c r="E18" s="3" t="s">
        <v>51</v>
      </c>
      <c r="F18" s="3" t="s">
        <v>494</v>
      </c>
      <c r="G18" s="5">
        <v>45789</v>
      </c>
      <c r="H18" s="6" t="s">
        <v>477</v>
      </c>
      <c r="I18" s="6" t="s">
        <v>61</v>
      </c>
      <c r="J18" s="7">
        <v>210000</v>
      </c>
      <c r="K18" s="2">
        <v>1</v>
      </c>
      <c r="L18" s="7">
        <v>163869.30605950369</v>
      </c>
      <c r="M18" s="3" t="str">
        <f>VLOOKUP(F18,[2]Inventario!$A:$F,6,0)</f>
        <v>G072JM0841050QUQ</v>
      </c>
      <c r="N18" s="3" t="s">
        <v>542</v>
      </c>
    </row>
    <row r="19" spans="1:14" x14ac:dyDescent="0.25">
      <c r="A19" s="3" t="s">
        <v>491</v>
      </c>
      <c r="B19" s="3">
        <v>157</v>
      </c>
      <c r="C19" s="3" t="s">
        <v>21</v>
      </c>
      <c r="D19" s="3" t="s">
        <v>9</v>
      </c>
      <c r="E19" s="3" t="s">
        <v>19</v>
      </c>
      <c r="F19" s="3" t="s">
        <v>493</v>
      </c>
      <c r="G19" s="5">
        <v>45775</v>
      </c>
      <c r="H19" s="6" t="s">
        <v>477</v>
      </c>
      <c r="I19" s="6" t="s">
        <v>60</v>
      </c>
      <c r="J19" s="7">
        <v>170000</v>
      </c>
      <c r="K19" s="2">
        <v>1</v>
      </c>
      <c r="L19" s="7">
        <v>145668.19555555555</v>
      </c>
      <c r="M19" s="3" t="str">
        <f>VLOOKUP(F19,[2]Inventario!$A:$F,6,0)</f>
        <v>G4N1CQ1644550QHF</v>
      </c>
      <c r="N19" s="3" t="s">
        <v>542</v>
      </c>
    </row>
    <row r="20" spans="1:14" x14ac:dyDescent="0.25">
      <c r="A20" s="3" t="s">
        <v>489</v>
      </c>
      <c r="B20" s="3">
        <v>210</v>
      </c>
      <c r="C20" s="3" t="s">
        <v>21</v>
      </c>
      <c r="D20" s="3" t="s">
        <v>9</v>
      </c>
      <c r="E20" s="3" t="s">
        <v>19</v>
      </c>
      <c r="F20" s="3" t="s">
        <v>490</v>
      </c>
      <c r="G20" s="5">
        <v>45743</v>
      </c>
      <c r="H20" s="6" t="s">
        <v>477</v>
      </c>
      <c r="I20" s="6" t="s">
        <v>60</v>
      </c>
      <c r="J20" s="7">
        <v>170000</v>
      </c>
      <c r="K20" s="2">
        <v>1</v>
      </c>
      <c r="L20" s="7">
        <v>145668.19555555555</v>
      </c>
      <c r="M20" s="3" t="str">
        <f>VLOOKUP(F20,[2]Inventario!$A:$F,6,0)</f>
        <v>G4N1CQ1644550QCQ</v>
      </c>
      <c r="N20" s="3" t="s">
        <v>542</v>
      </c>
    </row>
    <row r="21" spans="1:14" x14ac:dyDescent="0.25">
      <c r="A21" s="3" t="s">
        <v>486</v>
      </c>
      <c r="B21" s="3">
        <v>203</v>
      </c>
      <c r="C21" s="3" t="s">
        <v>21</v>
      </c>
      <c r="D21" s="3" t="s">
        <v>10</v>
      </c>
      <c r="E21" s="3" t="s">
        <v>20</v>
      </c>
      <c r="F21" s="3" t="s">
        <v>487</v>
      </c>
      <c r="G21" s="5">
        <v>45694</v>
      </c>
      <c r="H21" s="6" t="s">
        <v>477</v>
      </c>
      <c r="I21" s="6" t="s">
        <v>40</v>
      </c>
      <c r="J21" s="7">
        <v>145000</v>
      </c>
      <c r="K21" s="2">
        <v>1</v>
      </c>
      <c r="L21" s="7">
        <v>74841.244600000005</v>
      </c>
      <c r="M21" s="3" t="str">
        <f>VLOOKUP(F21,[2]Inventario!$A:$F,6,0)</f>
        <v>G4N1CQ1541771LV7</v>
      </c>
      <c r="N21" s="3" t="s">
        <v>542</v>
      </c>
    </row>
    <row r="22" spans="1:14" x14ac:dyDescent="0.25">
      <c r="A22" s="3" t="s">
        <v>485</v>
      </c>
      <c r="B22" s="3">
        <v>203</v>
      </c>
      <c r="C22" s="3" t="s">
        <v>21</v>
      </c>
      <c r="D22" s="3" t="s">
        <v>10</v>
      </c>
      <c r="E22" s="3" t="s">
        <v>20</v>
      </c>
      <c r="F22" s="3" t="s">
        <v>488</v>
      </c>
      <c r="G22" s="5">
        <v>45694</v>
      </c>
      <c r="H22" s="6" t="s">
        <v>477</v>
      </c>
      <c r="I22" s="6" t="s">
        <v>40</v>
      </c>
      <c r="J22" s="7">
        <v>145000</v>
      </c>
      <c r="K22" s="2">
        <v>1</v>
      </c>
      <c r="L22" s="7">
        <v>73079.563490748726</v>
      </c>
      <c r="M22" s="3" t="str">
        <f>VLOOKUP(F22,[2]Inventario!$A:$F,6,0)</f>
        <v>G4N1CQ15420503MX</v>
      </c>
      <c r="N22" s="3" t="s">
        <v>542</v>
      </c>
    </row>
    <row r="23" spans="1:14" x14ac:dyDescent="0.25">
      <c r="A23" s="3" t="s">
        <v>474</v>
      </c>
      <c r="B23" s="3">
        <v>200</v>
      </c>
      <c r="C23" s="3" t="s">
        <v>21</v>
      </c>
      <c r="D23" s="3" t="s">
        <v>8</v>
      </c>
      <c r="E23" s="3" t="s">
        <v>18</v>
      </c>
      <c r="F23" s="3" t="s">
        <v>479</v>
      </c>
      <c r="G23" s="5">
        <v>45678</v>
      </c>
      <c r="H23" s="6" t="s">
        <v>477</v>
      </c>
      <c r="I23" s="6" t="s">
        <v>25</v>
      </c>
      <c r="J23" s="7">
        <v>165000</v>
      </c>
      <c r="K23" s="2">
        <v>1</v>
      </c>
      <c r="L23" s="7">
        <v>150471.39333333334</v>
      </c>
      <c r="M23" s="3" t="str">
        <f>VLOOKUP(F23,[2]Inventario!$A:$F,6,0)</f>
        <v>G072JN0834721x0t</v>
      </c>
      <c r="N23" s="3" t="s">
        <v>542</v>
      </c>
    </row>
    <row r="24" spans="1:14" x14ac:dyDescent="0.25">
      <c r="A24" s="3" t="s">
        <v>473</v>
      </c>
      <c r="B24" s="3">
        <v>200</v>
      </c>
      <c r="C24" s="3" t="s">
        <v>21</v>
      </c>
      <c r="D24" s="3" t="s">
        <v>8</v>
      </c>
      <c r="E24" s="3" t="s">
        <v>18</v>
      </c>
      <c r="F24" s="3" t="s">
        <v>478</v>
      </c>
      <c r="G24" s="5">
        <v>45678</v>
      </c>
      <c r="H24" s="6" t="s">
        <v>477</v>
      </c>
      <c r="I24" s="6" t="s">
        <v>25</v>
      </c>
      <c r="J24" s="7">
        <v>165000</v>
      </c>
      <c r="K24" s="2">
        <v>1</v>
      </c>
      <c r="L24" s="7">
        <v>113759.72592620482</v>
      </c>
      <c r="M24" s="3" t="str">
        <f>VLOOKUP(F24,[2]Inventario!$A:$F,6,0)</f>
        <v>G072JN0841960GA2</v>
      </c>
      <c r="N24" s="3" t="s">
        <v>542</v>
      </c>
    </row>
    <row r="25" spans="1:14" x14ac:dyDescent="0.25">
      <c r="A25" s="3" t="s">
        <v>475</v>
      </c>
      <c r="B25" s="3">
        <v>198</v>
      </c>
      <c r="C25" s="3" t="s">
        <v>21</v>
      </c>
      <c r="D25" s="3" t="s">
        <v>50</v>
      </c>
      <c r="E25" s="3" t="s">
        <v>51</v>
      </c>
      <c r="F25" s="3" t="s">
        <v>476</v>
      </c>
      <c r="G25" s="5">
        <v>45670</v>
      </c>
      <c r="H25" s="6" t="s">
        <v>477</v>
      </c>
      <c r="I25" s="6" t="s">
        <v>25</v>
      </c>
      <c r="J25" s="7">
        <v>210000</v>
      </c>
      <c r="K25" s="2">
        <v>1</v>
      </c>
      <c r="L25" s="7">
        <v>163869.30605950369</v>
      </c>
      <c r="M25" s="3" t="str">
        <f>VLOOKUP(F25,[2]Inventario!$A:$F,6,0)</f>
        <v>G072JM0734160RGW</v>
      </c>
      <c r="N25" s="3" t="s">
        <v>542</v>
      </c>
    </row>
    <row r="26" spans="1:14" x14ac:dyDescent="0.25">
      <c r="A26" s="3" t="s">
        <v>469</v>
      </c>
      <c r="B26" s="3">
        <v>196</v>
      </c>
      <c r="C26" s="3" t="s">
        <v>21</v>
      </c>
      <c r="D26" s="3" t="s">
        <v>50</v>
      </c>
      <c r="E26" s="3" t="s">
        <v>51</v>
      </c>
      <c r="F26" s="3" t="s">
        <v>470</v>
      </c>
      <c r="G26" s="5">
        <v>45651</v>
      </c>
      <c r="H26" s="6" t="s">
        <v>450</v>
      </c>
      <c r="I26" s="6" t="s">
        <v>287</v>
      </c>
      <c r="J26" s="7">
        <v>210000</v>
      </c>
      <c r="K26" s="2">
        <v>1</v>
      </c>
      <c r="L26" s="7">
        <v>154439.88836166094</v>
      </c>
      <c r="M26" s="3" t="str">
        <f>VLOOKUP(F26,[2]Inventario!$A:$F,6,0)</f>
        <v>G4N2JM0141671BRS</v>
      </c>
      <c r="N26" s="3" t="s">
        <v>542</v>
      </c>
    </row>
    <row r="27" spans="1:14" x14ac:dyDescent="0.25">
      <c r="A27" s="3" t="s">
        <v>471</v>
      </c>
      <c r="B27" s="3">
        <v>195</v>
      </c>
      <c r="C27" s="3" t="s">
        <v>21</v>
      </c>
      <c r="D27" s="3" t="s">
        <v>50</v>
      </c>
      <c r="E27" s="3" t="s">
        <v>51</v>
      </c>
      <c r="F27" s="3" t="s">
        <v>481</v>
      </c>
      <c r="G27" s="5">
        <v>45650</v>
      </c>
      <c r="H27" s="6" t="s">
        <v>450</v>
      </c>
      <c r="I27" s="6" t="s">
        <v>287</v>
      </c>
      <c r="J27" s="7">
        <v>210000</v>
      </c>
      <c r="K27" s="2">
        <v>1</v>
      </c>
      <c r="L27" s="7">
        <v>154439.88836166094</v>
      </c>
      <c r="M27" s="3" t="str">
        <f>VLOOKUP(F27,[2]Inventario!$A:$F,6,0)</f>
        <v>G4N2JM0141671GTV</v>
      </c>
      <c r="N27" s="3" t="s">
        <v>542</v>
      </c>
    </row>
    <row r="28" spans="1:14" x14ac:dyDescent="0.25">
      <c r="A28" s="3" t="s">
        <v>467</v>
      </c>
      <c r="B28" s="3">
        <v>194</v>
      </c>
      <c r="C28" s="3" t="s">
        <v>21</v>
      </c>
      <c r="D28" s="3" t="s">
        <v>10</v>
      </c>
      <c r="E28" s="3" t="s">
        <v>20</v>
      </c>
      <c r="F28" s="3" t="s">
        <v>468</v>
      </c>
      <c r="G28" s="5">
        <v>45646</v>
      </c>
      <c r="H28" s="6" t="s">
        <v>450</v>
      </c>
      <c r="I28" s="6" t="s">
        <v>287</v>
      </c>
      <c r="J28" s="7">
        <v>150000</v>
      </c>
      <c r="K28" s="2">
        <v>1</v>
      </c>
      <c r="L28" s="7">
        <v>74841.244600000005</v>
      </c>
      <c r="M28" s="3" t="str">
        <f>VLOOKUP(F28,[2]Inventario!$A:$F,6,0)</f>
        <v>G4N1CQ1541771LMX</v>
      </c>
      <c r="N28" s="3" t="s">
        <v>542</v>
      </c>
    </row>
    <row r="29" spans="1:14" x14ac:dyDescent="0.25">
      <c r="A29" s="3" t="s">
        <v>465</v>
      </c>
      <c r="B29" s="3" t="s">
        <v>28</v>
      </c>
      <c r="C29" s="3" t="s">
        <v>21</v>
      </c>
      <c r="D29" s="3" t="s">
        <v>10</v>
      </c>
      <c r="E29" s="3" t="s">
        <v>20</v>
      </c>
      <c r="F29" s="3" t="s">
        <v>466</v>
      </c>
      <c r="G29" s="5">
        <v>45643</v>
      </c>
      <c r="H29" s="6" t="s">
        <v>450</v>
      </c>
      <c r="I29" s="6" t="s">
        <v>287</v>
      </c>
      <c r="J29" s="7">
        <v>140000</v>
      </c>
      <c r="K29" s="2">
        <v>1</v>
      </c>
      <c r="L29" s="7">
        <v>91999.94302540012</v>
      </c>
      <c r="M29" s="3" t="str">
        <f>VLOOKUP(F29,[2]Inventario!$A:$F,6,0)</f>
        <v>G4N1CQ1440920L9P</v>
      </c>
      <c r="N29" s="3" t="s">
        <v>542</v>
      </c>
    </row>
    <row r="30" spans="1:14" x14ac:dyDescent="0.25">
      <c r="A30" s="3" t="s">
        <v>463</v>
      </c>
      <c r="B30" s="8">
        <v>192</v>
      </c>
      <c r="C30" s="3" t="s">
        <v>21</v>
      </c>
      <c r="D30" s="3" t="s">
        <v>10</v>
      </c>
      <c r="E30" s="3" t="s">
        <v>20</v>
      </c>
      <c r="F30" s="3" t="s">
        <v>464</v>
      </c>
      <c r="G30" s="5">
        <v>45637</v>
      </c>
      <c r="H30" s="6" t="s">
        <v>450</v>
      </c>
      <c r="I30" s="6" t="s">
        <v>287</v>
      </c>
      <c r="J30" s="7">
        <v>140000</v>
      </c>
      <c r="K30" s="2">
        <v>1</v>
      </c>
      <c r="L30" s="7">
        <v>74841.244600000005</v>
      </c>
      <c r="M30" s="3" t="str">
        <f>VLOOKUP(F30,[2]Inventario!$A:$F,6,0)</f>
        <v>G4N1CQ1541771PA6</v>
      </c>
      <c r="N30" s="3" t="s">
        <v>542</v>
      </c>
    </row>
    <row r="31" spans="1:14" x14ac:dyDescent="0.25">
      <c r="A31" s="3" t="s">
        <v>461</v>
      </c>
      <c r="B31" s="8" t="s">
        <v>45</v>
      </c>
      <c r="C31" s="3" t="s">
        <v>21</v>
      </c>
      <c r="D31" s="3" t="s">
        <v>50</v>
      </c>
      <c r="E31" s="3" t="s">
        <v>51</v>
      </c>
      <c r="F31" s="3" t="s">
        <v>462</v>
      </c>
      <c r="G31" s="5">
        <v>45634</v>
      </c>
      <c r="H31" s="6" t="s">
        <v>450</v>
      </c>
      <c r="I31" s="6" t="s">
        <v>287</v>
      </c>
      <c r="J31" s="7">
        <v>210000</v>
      </c>
      <c r="K31" s="2">
        <v>1</v>
      </c>
      <c r="L31" s="7">
        <v>183552.04459999999</v>
      </c>
      <c r="M31" s="3" t="str">
        <f>VLOOKUP(F31,[2]Inventario!$A:$F,6,0)</f>
        <v>G4N2JM0141671CPL</v>
      </c>
      <c r="N31" s="3" t="s">
        <v>542</v>
      </c>
    </row>
    <row r="32" spans="1:14" x14ac:dyDescent="0.25">
      <c r="A32" s="3" t="s">
        <v>459</v>
      </c>
      <c r="B32" s="8">
        <v>191</v>
      </c>
      <c r="C32" s="3" t="s">
        <v>21</v>
      </c>
      <c r="D32" s="3" t="s">
        <v>8</v>
      </c>
      <c r="E32" s="3" t="s">
        <v>18</v>
      </c>
      <c r="F32" s="3" t="s">
        <v>460</v>
      </c>
      <c r="G32" s="5">
        <v>45629</v>
      </c>
      <c r="H32" s="6" t="s">
        <v>450</v>
      </c>
      <c r="I32" s="6" t="s">
        <v>287</v>
      </c>
      <c r="J32" s="7">
        <v>190000</v>
      </c>
      <c r="K32" s="2">
        <v>1</v>
      </c>
      <c r="L32" s="7">
        <v>113759.72592620482</v>
      </c>
      <c r="M32" s="3" t="str">
        <f>VLOOKUP(F32,[2]Inventario!$A:$F,6,0)</f>
        <v>G072JN0841960KRB</v>
      </c>
      <c r="N32" s="3" t="s">
        <v>542</v>
      </c>
    </row>
    <row r="33" spans="1:14" x14ac:dyDescent="0.25">
      <c r="A33" s="3" t="s">
        <v>457</v>
      </c>
      <c r="B33" s="8">
        <v>157</v>
      </c>
      <c r="C33" s="3" t="s">
        <v>21</v>
      </c>
      <c r="D33" s="3" t="s">
        <v>50</v>
      </c>
      <c r="E33" s="3" t="s">
        <v>51</v>
      </c>
      <c r="F33" s="3" t="s">
        <v>458</v>
      </c>
      <c r="G33" s="5">
        <v>45608</v>
      </c>
      <c r="H33" s="6" t="s">
        <v>450</v>
      </c>
      <c r="I33" s="6" t="s">
        <v>269</v>
      </c>
      <c r="J33" s="7">
        <v>210000</v>
      </c>
      <c r="K33" s="2">
        <v>1</v>
      </c>
      <c r="L33" s="7">
        <v>154439.88836166094</v>
      </c>
      <c r="M33" s="3" t="str">
        <f>VLOOKUP(F33,[2]Inventario!$A:$F,6,0)</f>
        <v>G072JM0841560VAU</v>
      </c>
      <c r="N33" s="3" t="s">
        <v>542</v>
      </c>
    </row>
    <row r="34" spans="1:14" x14ac:dyDescent="0.25">
      <c r="A34" s="3" t="s">
        <v>455</v>
      </c>
      <c r="B34" s="8">
        <v>184</v>
      </c>
      <c r="C34" s="3" t="s">
        <v>21</v>
      </c>
      <c r="D34" s="3" t="s">
        <v>50</v>
      </c>
      <c r="E34" s="3" t="s">
        <v>51</v>
      </c>
      <c r="F34" s="3" t="s">
        <v>456</v>
      </c>
      <c r="G34" s="5">
        <v>45605</v>
      </c>
      <c r="H34" s="6" t="s">
        <v>450</v>
      </c>
      <c r="I34" s="6" t="s">
        <v>269</v>
      </c>
      <c r="J34" s="7">
        <v>210000</v>
      </c>
      <c r="K34" s="2">
        <v>1</v>
      </c>
      <c r="L34" s="7">
        <v>154439.88836166094</v>
      </c>
      <c r="M34" s="3" t="str">
        <f>VLOOKUP(F34,[2]Inventario!$A:$F,6,0)</f>
        <v>G072JM0841560UAB</v>
      </c>
      <c r="N34" s="3" t="s">
        <v>542</v>
      </c>
    </row>
    <row r="35" spans="1:14" x14ac:dyDescent="0.25">
      <c r="A35" s="3" t="s">
        <v>452</v>
      </c>
      <c r="B35" s="8" t="s">
        <v>453</v>
      </c>
      <c r="C35" s="3" t="s">
        <v>21</v>
      </c>
      <c r="D35" s="3" t="s">
        <v>8</v>
      </c>
      <c r="E35" s="3" t="s">
        <v>18</v>
      </c>
      <c r="F35" s="3" t="s">
        <v>454</v>
      </c>
      <c r="G35" s="5">
        <v>45584</v>
      </c>
      <c r="H35" s="6" t="s">
        <v>450</v>
      </c>
      <c r="I35" s="6" t="s">
        <v>260</v>
      </c>
      <c r="J35" s="7">
        <v>190000</v>
      </c>
      <c r="K35" s="2">
        <v>1</v>
      </c>
      <c r="L35" s="7">
        <v>113759.72592620482</v>
      </c>
      <c r="M35" s="3" t="str">
        <f>VLOOKUP(F35,[2]Inventario!$A:$F,6,0)</f>
        <v>G072JN0841960K80</v>
      </c>
      <c r="N35" s="3" t="s">
        <v>542</v>
      </c>
    </row>
    <row r="36" spans="1:14" x14ac:dyDescent="0.25">
      <c r="A36" s="3" t="s">
        <v>448</v>
      </c>
      <c r="B36" s="8" t="s">
        <v>451</v>
      </c>
      <c r="C36" s="3" t="s">
        <v>21</v>
      </c>
      <c r="D36" s="3" t="s">
        <v>9</v>
      </c>
      <c r="E36" s="3" t="s">
        <v>19</v>
      </c>
      <c r="F36" s="3" t="s">
        <v>449</v>
      </c>
      <c r="G36" s="5">
        <v>45566</v>
      </c>
      <c r="H36" s="6" t="s">
        <v>450</v>
      </c>
      <c r="I36" s="6" t="s">
        <v>260</v>
      </c>
      <c r="J36" s="7">
        <v>170000</v>
      </c>
      <c r="K36" s="2">
        <v>1</v>
      </c>
      <c r="L36" s="7">
        <v>82602.135400000014</v>
      </c>
      <c r="M36" s="3" t="str">
        <f>VLOOKUP(F36,[2]Inventario!$A:$F,6,0)</f>
        <v>G4N1EL1741531MAK</v>
      </c>
      <c r="N36" s="3" t="s">
        <v>542</v>
      </c>
    </row>
    <row r="37" spans="1:14" x14ac:dyDescent="0.25">
      <c r="A37" s="3" t="s">
        <v>443</v>
      </c>
      <c r="B37" s="3" t="s">
        <v>114</v>
      </c>
      <c r="C37" s="3" t="s">
        <v>21</v>
      </c>
      <c r="D37" s="3" t="s">
        <v>9</v>
      </c>
      <c r="E37" s="3" t="s">
        <v>19</v>
      </c>
      <c r="F37" s="3" t="s">
        <v>110</v>
      </c>
      <c r="G37" s="5">
        <v>45536</v>
      </c>
      <c r="H37" s="6">
        <v>2024</v>
      </c>
      <c r="I37" s="6" t="s">
        <v>115</v>
      </c>
      <c r="J37" s="7">
        <v>170000</v>
      </c>
      <c r="K37" s="2">
        <v>1</v>
      </c>
      <c r="L37" s="7">
        <v>87397.864599999986</v>
      </c>
      <c r="M37" s="3" t="str">
        <f>VLOOKUP(F37,[2]Inventario!$A:$F,6,0)</f>
        <v>G4N1EL17415613XU</v>
      </c>
      <c r="N37" s="3" t="s">
        <v>542</v>
      </c>
    </row>
    <row r="38" spans="1:14" x14ac:dyDescent="0.25">
      <c r="A38" s="3" t="s">
        <v>444</v>
      </c>
      <c r="B38" s="3" t="s">
        <v>63</v>
      </c>
      <c r="C38" s="3" t="s">
        <v>21</v>
      </c>
      <c r="D38" s="3" t="s">
        <v>8</v>
      </c>
      <c r="E38" s="3" t="s">
        <v>18</v>
      </c>
      <c r="F38" s="3" t="s">
        <v>111</v>
      </c>
      <c r="G38" s="5">
        <v>45536</v>
      </c>
      <c r="H38" s="6">
        <v>2024</v>
      </c>
      <c r="I38" s="6" t="s">
        <v>115</v>
      </c>
      <c r="J38" s="7">
        <v>180000</v>
      </c>
      <c r="K38" s="2">
        <v>1</v>
      </c>
      <c r="L38" s="7">
        <v>113759.72592620482</v>
      </c>
      <c r="M38" s="3" t="str">
        <f>VLOOKUP(F38,[2]Inventario!$A:$F,6,0)</f>
        <v>G072JN0841960GVW</v>
      </c>
      <c r="N38" s="3" t="s">
        <v>542</v>
      </c>
    </row>
    <row r="39" spans="1:14" x14ac:dyDescent="0.25">
      <c r="A39" s="3" t="s">
        <v>445</v>
      </c>
      <c r="B39" s="3" t="s">
        <v>28</v>
      </c>
      <c r="C39" s="3" t="s">
        <v>21</v>
      </c>
      <c r="D39" s="3" t="s">
        <v>9</v>
      </c>
      <c r="E39" s="3" t="s">
        <v>19</v>
      </c>
      <c r="F39" s="3" t="s">
        <v>112</v>
      </c>
      <c r="G39" s="5">
        <v>45536</v>
      </c>
      <c r="H39" s="6">
        <v>2024</v>
      </c>
      <c r="I39" s="6" t="s">
        <v>115</v>
      </c>
      <c r="J39" s="7">
        <v>150000</v>
      </c>
      <c r="K39" s="2">
        <v>1</v>
      </c>
      <c r="L39" s="7">
        <v>85283.612221385541</v>
      </c>
      <c r="M39" s="3" t="str">
        <f>VLOOKUP(F39,[2]Inventario!$A:$F,6,0)</f>
        <v>G071EL204044095E</v>
      </c>
      <c r="N39" s="3" t="s">
        <v>542</v>
      </c>
    </row>
    <row r="40" spans="1:14" x14ac:dyDescent="0.25">
      <c r="A40" s="3" t="s">
        <v>446</v>
      </c>
      <c r="B40" s="3" t="s">
        <v>28</v>
      </c>
      <c r="C40" s="3" t="s">
        <v>21</v>
      </c>
      <c r="D40" s="3" t="s">
        <v>9</v>
      </c>
      <c r="E40" s="3" t="s">
        <v>19</v>
      </c>
      <c r="F40" s="3" t="s">
        <v>113</v>
      </c>
      <c r="G40" s="5">
        <v>45536</v>
      </c>
      <c r="H40" s="6">
        <v>2024</v>
      </c>
      <c r="I40" s="6" t="s">
        <v>115</v>
      </c>
      <c r="J40" s="7">
        <v>150000</v>
      </c>
      <c r="K40" s="2">
        <v>1</v>
      </c>
      <c r="L40" s="7">
        <v>87397.864599999986</v>
      </c>
      <c r="M40" s="3" t="str">
        <f>VLOOKUP(F40,[2]Inventario!$A:$F,6,0)</f>
        <v>G4N1EL1741531MAQ</v>
      </c>
      <c r="N40" s="3" t="s">
        <v>542</v>
      </c>
    </row>
    <row r="41" spans="1:14" x14ac:dyDescent="0.25">
      <c r="A41" s="3" t="s">
        <v>390</v>
      </c>
      <c r="B41" s="3" t="s">
        <v>62</v>
      </c>
      <c r="C41" s="3" t="s">
        <v>21</v>
      </c>
      <c r="D41" s="3" t="s">
        <v>10</v>
      </c>
      <c r="E41" s="3" t="s">
        <v>20</v>
      </c>
      <c r="F41" s="3" t="s">
        <v>99</v>
      </c>
      <c r="G41" s="5">
        <v>45505</v>
      </c>
      <c r="H41" s="6">
        <v>2024</v>
      </c>
      <c r="I41" s="6" t="s">
        <v>109</v>
      </c>
      <c r="J41" s="7">
        <v>160000</v>
      </c>
      <c r="K41" s="2">
        <v>1</v>
      </c>
      <c r="L41" s="7">
        <v>91999.94302540012</v>
      </c>
      <c r="M41" s="3" t="str">
        <f>VLOOKUP(F41,[2]Inventario!$A:$F,6,0)</f>
        <v>G4N1CQ1440920M8K</v>
      </c>
      <c r="N41" s="3" t="s">
        <v>542</v>
      </c>
    </row>
    <row r="42" spans="1:14" x14ac:dyDescent="0.25">
      <c r="A42" s="3" t="s">
        <v>391</v>
      </c>
      <c r="B42" s="3" t="s">
        <v>94</v>
      </c>
      <c r="C42" s="3" t="s">
        <v>21</v>
      </c>
      <c r="D42" s="3" t="s">
        <v>8</v>
      </c>
      <c r="E42" s="3" t="s">
        <v>18</v>
      </c>
      <c r="F42" s="3" t="s">
        <v>100</v>
      </c>
      <c r="G42" s="5">
        <v>45505</v>
      </c>
      <c r="H42" s="6">
        <v>2024</v>
      </c>
      <c r="I42" s="6" t="s">
        <v>109</v>
      </c>
      <c r="J42" s="7">
        <v>190000</v>
      </c>
      <c r="K42" s="2">
        <v>1</v>
      </c>
      <c r="L42" s="7">
        <v>116696.6446</v>
      </c>
      <c r="M42" s="3" t="str">
        <f>VLOOKUP(F42,[2]Inventario!$A:$F,6,0)</f>
        <v>G072JN0834470DE6</v>
      </c>
      <c r="N42" s="3" t="s">
        <v>542</v>
      </c>
    </row>
    <row r="43" spans="1:14" x14ac:dyDescent="0.25">
      <c r="A43" s="3" t="s">
        <v>392</v>
      </c>
      <c r="B43" s="3" t="s">
        <v>63</v>
      </c>
      <c r="C43" s="3" t="s">
        <v>21</v>
      </c>
      <c r="D43" s="3" t="s">
        <v>8</v>
      </c>
      <c r="E43" s="3" t="s">
        <v>18</v>
      </c>
      <c r="F43" s="3" t="s">
        <v>482</v>
      </c>
      <c r="G43" s="5">
        <v>45505</v>
      </c>
      <c r="H43" s="6">
        <v>2024</v>
      </c>
      <c r="I43" s="6" t="s">
        <v>109</v>
      </c>
      <c r="J43" s="7">
        <v>180000</v>
      </c>
      <c r="K43" s="2">
        <v>1</v>
      </c>
      <c r="L43" s="7">
        <v>116696.6446</v>
      </c>
      <c r="M43" s="3" t="str">
        <f>VLOOKUP(F43,[2]Inventario!$A:$F,6,0)</f>
        <v>G072JN08347427JU</v>
      </c>
      <c r="N43" s="3" t="s">
        <v>542</v>
      </c>
    </row>
    <row r="44" spans="1:14" x14ac:dyDescent="0.25">
      <c r="A44" s="3" t="s">
        <v>393</v>
      </c>
      <c r="B44" s="3" t="s">
        <v>95</v>
      </c>
      <c r="C44" s="3" t="s">
        <v>21</v>
      </c>
      <c r="D44" s="3" t="s">
        <v>8</v>
      </c>
      <c r="E44" s="3" t="s">
        <v>18</v>
      </c>
      <c r="F44" s="3" t="s">
        <v>101</v>
      </c>
      <c r="G44" s="5">
        <v>45505</v>
      </c>
      <c r="H44" s="6">
        <v>2024</v>
      </c>
      <c r="I44" s="6" t="s">
        <v>109</v>
      </c>
      <c r="J44" s="7">
        <v>190000</v>
      </c>
      <c r="K44" s="2">
        <v>1</v>
      </c>
      <c r="L44" s="7">
        <v>168000</v>
      </c>
      <c r="M44" s="3" t="str">
        <f>VLOOKUP(F44,[2]Inventario!$A:$F,6,0)</f>
        <v>G072JN0734340ECL</v>
      </c>
      <c r="N44" s="3" t="s">
        <v>542</v>
      </c>
    </row>
    <row r="45" spans="1:14" x14ac:dyDescent="0.25">
      <c r="A45" s="3" t="s">
        <v>407</v>
      </c>
      <c r="B45" s="3" t="s">
        <v>79</v>
      </c>
      <c r="C45" s="3" t="s">
        <v>21</v>
      </c>
      <c r="D45" s="3" t="s">
        <v>8</v>
      </c>
      <c r="E45" s="3" t="s">
        <v>18</v>
      </c>
      <c r="F45" s="3" t="s">
        <v>88</v>
      </c>
      <c r="G45" s="5">
        <v>45505</v>
      </c>
      <c r="H45" s="6">
        <v>2024</v>
      </c>
      <c r="I45" s="6" t="s">
        <v>109</v>
      </c>
      <c r="J45" s="7">
        <v>105000</v>
      </c>
      <c r="K45" s="2">
        <v>1</v>
      </c>
      <c r="L45" s="7">
        <v>168000</v>
      </c>
      <c r="M45" s="3" t="str">
        <f>VLOOKUP(F45,[2]Inventario!$A:$F,6,0)</f>
        <v>G072JN0834860ELS</v>
      </c>
      <c r="N45" s="3" t="s">
        <v>542</v>
      </c>
    </row>
    <row r="46" spans="1:14" x14ac:dyDescent="0.25">
      <c r="A46" s="3" t="s">
        <v>408</v>
      </c>
      <c r="B46" s="3" t="s">
        <v>96</v>
      </c>
      <c r="C46" s="3" t="s">
        <v>21</v>
      </c>
      <c r="D46" s="3" t="s">
        <v>9</v>
      </c>
      <c r="E46" s="3" t="s">
        <v>19</v>
      </c>
      <c r="F46" s="3" t="s">
        <v>102</v>
      </c>
      <c r="G46" s="5">
        <v>45505</v>
      </c>
      <c r="H46" s="6">
        <v>2024</v>
      </c>
      <c r="I46" s="6" t="s">
        <v>109</v>
      </c>
      <c r="J46" s="7">
        <v>170000</v>
      </c>
      <c r="K46" s="2">
        <v>1</v>
      </c>
      <c r="L46" s="7">
        <v>85283.612221385541</v>
      </c>
      <c r="M46" s="3" t="str">
        <f>VLOOKUP(F46,[2]Inventario!$A:$F,6,0)</f>
        <v>G071EL2241631RA1</v>
      </c>
      <c r="N46" s="3" t="s">
        <v>542</v>
      </c>
    </row>
    <row r="47" spans="1:14" x14ac:dyDescent="0.25">
      <c r="A47" s="3" t="s">
        <v>409</v>
      </c>
      <c r="B47" s="3" t="s">
        <v>28</v>
      </c>
      <c r="C47" s="3" t="s">
        <v>21</v>
      </c>
      <c r="D47" s="3" t="s">
        <v>9</v>
      </c>
      <c r="E47" s="3" t="s">
        <v>19</v>
      </c>
      <c r="F47" s="3" t="s">
        <v>103</v>
      </c>
      <c r="G47" s="5">
        <v>45505</v>
      </c>
      <c r="H47" s="6">
        <v>2024</v>
      </c>
      <c r="I47" s="6" t="s">
        <v>109</v>
      </c>
      <c r="J47" s="7">
        <v>150000</v>
      </c>
      <c r="K47" s="2">
        <v>1</v>
      </c>
      <c r="L47" s="7">
        <v>85283.612221385541</v>
      </c>
      <c r="M47" s="3" t="str">
        <f>VLOOKUP(F47,[2]Inventario!$A:$F,6,0)</f>
        <v>G071EL2241550KDE</v>
      </c>
      <c r="N47" s="3" t="s">
        <v>542</v>
      </c>
    </row>
    <row r="48" spans="1:14" x14ac:dyDescent="0.25">
      <c r="A48" s="3" t="s">
        <v>410</v>
      </c>
      <c r="B48" s="3" t="s">
        <v>28</v>
      </c>
      <c r="C48" s="3" t="s">
        <v>21</v>
      </c>
      <c r="D48" s="3" t="s">
        <v>9</v>
      </c>
      <c r="E48" s="3" t="s">
        <v>19</v>
      </c>
      <c r="F48" s="3" t="s">
        <v>104</v>
      </c>
      <c r="G48" s="5">
        <v>45505</v>
      </c>
      <c r="H48" s="6">
        <v>2024</v>
      </c>
      <c r="I48" s="6" t="s">
        <v>109</v>
      </c>
      <c r="J48" s="7">
        <v>150000</v>
      </c>
      <c r="K48" s="2">
        <v>1</v>
      </c>
      <c r="L48" s="7">
        <v>85283.612221385541</v>
      </c>
      <c r="M48" s="3" t="str">
        <f>VLOOKUP(F48,[2]Inventario!$A:$F,6,0)</f>
        <v>G071EL204044085R</v>
      </c>
      <c r="N48" s="3" t="s">
        <v>542</v>
      </c>
    </row>
    <row r="49" spans="1:14" x14ac:dyDescent="0.25">
      <c r="A49" s="3" t="s">
        <v>411</v>
      </c>
      <c r="B49" s="3" t="s">
        <v>28</v>
      </c>
      <c r="C49" s="3" t="s">
        <v>21</v>
      </c>
      <c r="D49" s="3" t="s">
        <v>9</v>
      </c>
      <c r="E49" s="3" t="s">
        <v>19</v>
      </c>
      <c r="F49" s="3" t="s">
        <v>105</v>
      </c>
      <c r="G49" s="5">
        <v>45505</v>
      </c>
      <c r="H49" s="6">
        <v>2024</v>
      </c>
      <c r="I49" s="6" t="s">
        <v>109</v>
      </c>
      <c r="J49" s="7">
        <v>150000</v>
      </c>
      <c r="K49" s="2">
        <v>1</v>
      </c>
      <c r="L49" s="7">
        <v>85283.612221385541</v>
      </c>
      <c r="M49" s="3" t="str">
        <f>VLOOKUP(F49,[2]Inventario!$A:$F,6,0)</f>
        <v>G4N1EL16401505AP</v>
      </c>
      <c r="N49" s="3" t="s">
        <v>542</v>
      </c>
    </row>
    <row r="50" spans="1:14" x14ac:dyDescent="0.25">
      <c r="A50" s="3" t="s">
        <v>412</v>
      </c>
      <c r="B50" s="3" t="s">
        <v>28</v>
      </c>
      <c r="C50" s="3" t="s">
        <v>21</v>
      </c>
      <c r="D50" s="3" t="s">
        <v>9</v>
      </c>
      <c r="E50" s="3" t="s">
        <v>19</v>
      </c>
      <c r="F50" s="3" t="s">
        <v>106</v>
      </c>
      <c r="G50" s="5">
        <v>45505</v>
      </c>
      <c r="H50" s="6">
        <v>2024</v>
      </c>
      <c r="I50" s="6" t="s">
        <v>109</v>
      </c>
      <c r="J50" s="7">
        <v>150000</v>
      </c>
      <c r="K50" s="2">
        <v>1</v>
      </c>
      <c r="L50" s="7">
        <v>85283.612221385541</v>
      </c>
      <c r="M50" s="3" t="str">
        <f>VLOOKUP(F50,[2]Inventario!$A:$F,6,0)</f>
        <v>G4N1EL16401504W8</v>
      </c>
      <c r="N50" s="3" t="s">
        <v>542</v>
      </c>
    </row>
    <row r="51" spans="1:14" x14ac:dyDescent="0.25">
      <c r="A51" s="3" t="s">
        <v>413</v>
      </c>
      <c r="B51" s="3" t="s">
        <v>97</v>
      </c>
      <c r="C51" s="3" t="s">
        <v>21</v>
      </c>
      <c r="D51" s="3" t="s">
        <v>50</v>
      </c>
      <c r="E51" s="3" t="s">
        <v>51</v>
      </c>
      <c r="F51" s="3" t="s">
        <v>472</v>
      </c>
      <c r="G51" s="5">
        <v>45505</v>
      </c>
      <c r="H51" s="6">
        <v>2024</v>
      </c>
      <c r="I51" s="6" t="s">
        <v>109</v>
      </c>
      <c r="J51" s="7">
        <v>210000</v>
      </c>
      <c r="K51" s="2">
        <v>1</v>
      </c>
      <c r="L51" s="7">
        <v>154439.88836166094</v>
      </c>
      <c r="M51" s="3" t="str">
        <f>VLOOKUP(F51,[2]Inventario!$A:$F,6,0)</f>
        <v>G4N2JM0141572D0G</v>
      </c>
      <c r="N51" s="3" t="s">
        <v>542</v>
      </c>
    </row>
    <row r="52" spans="1:14" x14ac:dyDescent="0.25">
      <c r="A52" s="3" t="s">
        <v>414</v>
      </c>
      <c r="B52" s="3" t="s">
        <v>98</v>
      </c>
      <c r="C52" s="3" t="s">
        <v>21</v>
      </c>
      <c r="D52" s="3" t="s">
        <v>8</v>
      </c>
      <c r="E52" s="3" t="s">
        <v>18</v>
      </c>
      <c r="F52" s="3" t="s">
        <v>107</v>
      </c>
      <c r="G52" s="5">
        <v>45505</v>
      </c>
      <c r="H52" s="6">
        <v>2024</v>
      </c>
      <c r="I52" s="6" t="s">
        <v>109</v>
      </c>
      <c r="J52" s="7">
        <v>190000</v>
      </c>
      <c r="K52" s="2">
        <v>1</v>
      </c>
      <c r="L52" s="7">
        <v>168000</v>
      </c>
      <c r="M52" s="3" t="str">
        <f>VLOOKUP(F52,[2]Inventario!$A:$F,6,0)</f>
        <v>G072JN08348607k9</v>
      </c>
      <c r="N52" s="3" t="s">
        <v>542</v>
      </c>
    </row>
    <row r="53" spans="1:14" x14ac:dyDescent="0.25">
      <c r="A53" s="3" t="s">
        <v>442</v>
      </c>
      <c r="B53" s="3" t="s">
        <v>98</v>
      </c>
      <c r="C53" s="3" t="s">
        <v>21</v>
      </c>
      <c r="D53" s="3" t="s">
        <v>9</v>
      </c>
      <c r="E53" s="3" t="s">
        <v>19</v>
      </c>
      <c r="F53" s="3" t="s">
        <v>108</v>
      </c>
      <c r="G53" s="5">
        <v>45505</v>
      </c>
      <c r="H53" s="6">
        <v>2024</v>
      </c>
      <c r="I53" s="6" t="s">
        <v>109</v>
      </c>
      <c r="J53" s="7">
        <v>170000</v>
      </c>
      <c r="K53" s="2">
        <v>1</v>
      </c>
      <c r="L53" s="7">
        <v>85283.612221385541</v>
      </c>
      <c r="M53" s="3" t="str">
        <f>VLOOKUP(F53,[2]Inventario!$A:$F,6,0)</f>
        <v>G4N1EL17415617P7</v>
      </c>
      <c r="N53" s="3" t="s">
        <v>542</v>
      </c>
    </row>
    <row r="54" spans="1:14" x14ac:dyDescent="0.25">
      <c r="A54" s="3" t="s">
        <v>378</v>
      </c>
      <c r="B54" s="3" t="s">
        <v>77</v>
      </c>
      <c r="C54" s="3" t="s">
        <v>21</v>
      </c>
      <c r="D54" s="3" t="s">
        <v>9</v>
      </c>
      <c r="E54" s="3" t="s">
        <v>19</v>
      </c>
      <c r="F54" s="3" t="s">
        <v>82</v>
      </c>
      <c r="G54" s="5">
        <v>45474</v>
      </c>
      <c r="H54" s="6">
        <v>2024</v>
      </c>
      <c r="I54" s="6" t="s">
        <v>93</v>
      </c>
      <c r="J54" s="7">
        <v>170000</v>
      </c>
      <c r="K54" s="2">
        <v>1</v>
      </c>
      <c r="L54" s="7">
        <v>112159.25843945719</v>
      </c>
      <c r="M54" s="3" t="str">
        <f>VLOOKUP(F54,[2]Inventario!$A:$F,6,0)</f>
        <v>G4N1EL16347203MK</v>
      </c>
      <c r="N54" s="3" t="s">
        <v>542</v>
      </c>
    </row>
    <row r="55" spans="1:14" x14ac:dyDescent="0.25">
      <c r="A55" s="3" t="s">
        <v>379</v>
      </c>
      <c r="B55" s="3" t="s">
        <v>45</v>
      </c>
      <c r="C55" s="3" t="s">
        <v>21</v>
      </c>
      <c r="D55" s="3" t="s">
        <v>8</v>
      </c>
      <c r="E55" s="3" t="s">
        <v>18</v>
      </c>
      <c r="F55" s="3" t="s">
        <v>83</v>
      </c>
      <c r="G55" s="5">
        <v>45474</v>
      </c>
      <c r="H55" s="6">
        <v>2024</v>
      </c>
      <c r="I55" s="6" t="s">
        <v>93</v>
      </c>
      <c r="J55" s="7">
        <v>190000</v>
      </c>
      <c r="K55" s="2">
        <v>1</v>
      </c>
      <c r="L55" s="7">
        <v>168000</v>
      </c>
      <c r="M55" s="3" t="str">
        <f>VLOOKUP(F55,[2]Inventario!$A:$F,6,0)</f>
        <v>G072JN0834860TQV</v>
      </c>
      <c r="N55" s="3" t="s">
        <v>542</v>
      </c>
    </row>
    <row r="56" spans="1:14" x14ac:dyDescent="0.25">
      <c r="A56" s="3" t="s">
        <v>380</v>
      </c>
      <c r="B56" s="3" t="s">
        <v>63</v>
      </c>
      <c r="C56" s="3" t="s">
        <v>21</v>
      </c>
      <c r="D56" s="3" t="s">
        <v>8</v>
      </c>
      <c r="E56" s="3" t="s">
        <v>18</v>
      </c>
      <c r="F56" s="3" t="s">
        <v>84</v>
      </c>
      <c r="G56" s="5">
        <v>45474</v>
      </c>
      <c r="H56" s="6">
        <v>2024</v>
      </c>
      <c r="I56" s="6" t="s">
        <v>93</v>
      </c>
      <c r="J56" s="7">
        <v>180000</v>
      </c>
      <c r="K56" s="2">
        <v>1</v>
      </c>
      <c r="L56" s="7">
        <v>133700.5765</v>
      </c>
      <c r="M56" s="3" t="str">
        <f>VLOOKUP(F56,[2]Inventario!$A:$F,6,0)</f>
        <v>G072JN0840260JW9</v>
      </c>
      <c r="N56" s="3" t="s">
        <v>542</v>
      </c>
    </row>
    <row r="57" spans="1:14" x14ac:dyDescent="0.25">
      <c r="A57" s="3" t="s">
        <v>381</v>
      </c>
      <c r="B57" s="3" t="s">
        <v>63</v>
      </c>
      <c r="C57" s="3" t="s">
        <v>21</v>
      </c>
      <c r="D57" s="3" t="s">
        <v>8</v>
      </c>
      <c r="E57" s="3" t="s">
        <v>18</v>
      </c>
      <c r="F57" s="3" t="s">
        <v>85</v>
      </c>
      <c r="G57" s="5">
        <v>45474</v>
      </c>
      <c r="H57" s="6">
        <v>2024</v>
      </c>
      <c r="I57" s="6" t="s">
        <v>93</v>
      </c>
      <c r="J57" s="7">
        <v>180000</v>
      </c>
      <c r="K57" s="2">
        <v>1</v>
      </c>
      <c r="L57" s="7">
        <v>116696.6446</v>
      </c>
      <c r="M57" s="3" t="str">
        <f>VLOOKUP(F57,[2]Inventario!$A:$F,6,0)</f>
        <v>G072JN0834470DEU</v>
      </c>
      <c r="N57" s="3" t="s">
        <v>542</v>
      </c>
    </row>
    <row r="58" spans="1:14" x14ac:dyDescent="0.25">
      <c r="A58" s="3" t="s">
        <v>382</v>
      </c>
      <c r="B58" s="3" t="s">
        <v>78</v>
      </c>
      <c r="C58" s="3" t="s">
        <v>21</v>
      </c>
      <c r="D58" s="3" t="s">
        <v>8</v>
      </c>
      <c r="E58" s="3" t="s">
        <v>18</v>
      </c>
      <c r="F58" s="3" t="s">
        <v>86</v>
      </c>
      <c r="G58" s="5">
        <v>45474</v>
      </c>
      <c r="H58" s="6">
        <v>2024</v>
      </c>
      <c r="I58" s="6" t="s">
        <v>93</v>
      </c>
      <c r="J58" s="7">
        <v>190000</v>
      </c>
      <c r="K58" s="2">
        <v>1</v>
      </c>
      <c r="L58" s="7">
        <v>132318.57385351424</v>
      </c>
      <c r="M58" s="3" t="str">
        <f>VLOOKUP(F58,[2]Inventario!$A:$F,6,0)</f>
        <v>G072JN0840260TKM</v>
      </c>
      <c r="N58" s="3" t="s">
        <v>542</v>
      </c>
    </row>
    <row r="59" spans="1:14" x14ac:dyDescent="0.25">
      <c r="A59" s="3" t="s">
        <v>383</v>
      </c>
      <c r="B59" s="3" t="s">
        <v>78</v>
      </c>
      <c r="C59" s="3" t="s">
        <v>21</v>
      </c>
      <c r="D59" s="3" t="s">
        <v>8</v>
      </c>
      <c r="E59" s="3" t="s">
        <v>18</v>
      </c>
      <c r="F59" s="3" t="s">
        <v>87</v>
      </c>
      <c r="G59" s="5">
        <v>45474</v>
      </c>
      <c r="H59" s="6">
        <v>2024</v>
      </c>
      <c r="I59" s="6" t="s">
        <v>93</v>
      </c>
      <c r="J59" s="7">
        <v>190000</v>
      </c>
      <c r="K59" s="2">
        <v>1</v>
      </c>
      <c r="L59" s="7">
        <v>132318.57385351424</v>
      </c>
      <c r="M59" s="3" t="str">
        <f>VLOOKUP(F59,[2]Inventario!$A:$F,6,0)</f>
        <v>G072JN0840260TPN</v>
      </c>
      <c r="N59" s="3" t="s">
        <v>542</v>
      </c>
    </row>
    <row r="60" spans="1:14" x14ac:dyDescent="0.25">
      <c r="A60" s="3" t="s">
        <v>384</v>
      </c>
      <c r="B60" s="3" t="s">
        <v>79</v>
      </c>
      <c r="C60" s="3" t="s">
        <v>21</v>
      </c>
      <c r="D60" s="3" t="s">
        <v>8</v>
      </c>
      <c r="E60" s="3" t="s">
        <v>18</v>
      </c>
      <c r="F60" s="3" t="s">
        <v>88</v>
      </c>
      <c r="G60" s="5">
        <v>45474</v>
      </c>
      <c r="H60" s="6">
        <v>2024</v>
      </c>
      <c r="I60" s="6" t="s">
        <v>93</v>
      </c>
      <c r="J60" s="7">
        <v>85000</v>
      </c>
      <c r="K60" s="2">
        <v>1</v>
      </c>
      <c r="L60" s="7">
        <v>168000</v>
      </c>
      <c r="M60" s="3" t="str">
        <f>VLOOKUP(F60,[2]Inventario!$A:$F,6,0)</f>
        <v>G072JN0834860ELS</v>
      </c>
      <c r="N60" s="3" t="s">
        <v>542</v>
      </c>
    </row>
    <row r="61" spans="1:14" x14ac:dyDescent="0.25">
      <c r="A61" s="3" t="s">
        <v>386</v>
      </c>
      <c r="B61" s="3" t="s">
        <v>28</v>
      </c>
      <c r="C61" s="3" t="s">
        <v>21</v>
      </c>
      <c r="D61" s="3" t="s">
        <v>8</v>
      </c>
      <c r="E61" s="3" t="s">
        <v>18</v>
      </c>
      <c r="F61" s="3" t="s">
        <v>89</v>
      </c>
      <c r="G61" s="5">
        <v>45474</v>
      </c>
      <c r="H61" s="6">
        <v>2024</v>
      </c>
      <c r="I61" s="6" t="s">
        <v>93</v>
      </c>
      <c r="J61" s="7">
        <v>170000</v>
      </c>
      <c r="K61" s="2">
        <v>1</v>
      </c>
      <c r="L61" s="7">
        <v>133700.5765</v>
      </c>
      <c r="M61" s="3" t="str">
        <f>VLOOKUP(F61,[2]Inventario!$A:$F,6,0)</f>
        <v>G072JN0734420PL9</v>
      </c>
      <c r="N61" s="3" t="s">
        <v>542</v>
      </c>
    </row>
    <row r="62" spans="1:14" x14ac:dyDescent="0.25">
      <c r="A62" s="3" t="s">
        <v>387</v>
      </c>
      <c r="B62" s="3" t="s">
        <v>48</v>
      </c>
      <c r="C62" s="3" t="s">
        <v>21</v>
      </c>
      <c r="D62" s="3" t="s">
        <v>50</v>
      </c>
      <c r="E62" s="3" t="s">
        <v>51</v>
      </c>
      <c r="F62" s="3" t="s">
        <v>90</v>
      </c>
      <c r="G62" s="5">
        <v>45474</v>
      </c>
      <c r="H62" s="6">
        <v>2024</v>
      </c>
      <c r="I62" s="6" t="s">
        <v>93</v>
      </c>
      <c r="J62" s="7">
        <v>210000</v>
      </c>
      <c r="K62" s="2">
        <v>1</v>
      </c>
      <c r="L62" s="7">
        <v>172637.20468162838</v>
      </c>
      <c r="M62" s="3" t="str">
        <f>VLOOKUP(F62,[2]Inventario!$A:$F,6,0)</f>
        <v>G072JM08405401U9</v>
      </c>
      <c r="N62" s="3" t="s">
        <v>542</v>
      </c>
    </row>
    <row r="63" spans="1:14" x14ac:dyDescent="0.25">
      <c r="A63" s="3" t="s">
        <v>388</v>
      </c>
      <c r="B63" s="3" t="s">
        <v>80</v>
      </c>
      <c r="C63" s="3" t="s">
        <v>21</v>
      </c>
      <c r="D63" s="3" t="s">
        <v>50</v>
      </c>
      <c r="E63" s="3" t="s">
        <v>51</v>
      </c>
      <c r="F63" s="3" t="s">
        <v>91</v>
      </c>
      <c r="G63" s="5">
        <v>45474</v>
      </c>
      <c r="H63" s="6">
        <v>2024</v>
      </c>
      <c r="I63" s="6" t="s">
        <v>93</v>
      </c>
      <c r="J63" s="7">
        <v>210000</v>
      </c>
      <c r="K63" s="2">
        <v>1</v>
      </c>
      <c r="L63" s="7">
        <v>172637.20468162838</v>
      </c>
      <c r="M63" s="3" t="str">
        <f>VLOOKUP(F63,[2]Inventario!$A:$F,6,0)</f>
        <v>G072JM08403202LM</v>
      </c>
      <c r="N63" s="3" t="s">
        <v>542</v>
      </c>
    </row>
    <row r="64" spans="1:14" x14ac:dyDescent="0.25">
      <c r="A64" s="3" t="s">
        <v>389</v>
      </c>
      <c r="B64" s="3" t="s">
        <v>81</v>
      </c>
      <c r="C64" s="3" t="s">
        <v>21</v>
      </c>
      <c r="D64" s="3" t="s">
        <v>50</v>
      </c>
      <c r="E64" s="3" t="s">
        <v>51</v>
      </c>
      <c r="F64" s="3" t="s">
        <v>92</v>
      </c>
      <c r="G64" s="5">
        <v>45474</v>
      </c>
      <c r="H64" s="6">
        <v>2024</v>
      </c>
      <c r="I64" s="6" t="s">
        <v>93</v>
      </c>
      <c r="J64" s="7">
        <v>210000</v>
      </c>
      <c r="K64" s="2">
        <v>1</v>
      </c>
      <c r="L64" s="7">
        <v>172637.20468162838</v>
      </c>
      <c r="M64" s="3" t="str">
        <f>VLOOKUP(F64,[2]Inventario!$A:$F,6,0)</f>
        <v>G072JM084053041R</v>
      </c>
      <c r="N64" s="3" t="s">
        <v>542</v>
      </c>
    </row>
    <row r="65" spans="1:14" x14ac:dyDescent="0.25">
      <c r="A65" s="3" t="s">
        <v>368</v>
      </c>
      <c r="B65" s="3" t="s">
        <v>69</v>
      </c>
      <c r="C65" s="3" t="s">
        <v>21</v>
      </c>
      <c r="D65" s="3" t="s">
        <v>10</v>
      </c>
      <c r="E65" s="3" t="s">
        <v>20</v>
      </c>
      <c r="F65" s="3" t="s">
        <v>72</v>
      </c>
      <c r="G65" s="5">
        <v>45444</v>
      </c>
      <c r="H65" s="6">
        <v>2024</v>
      </c>
      <c r="I65" s="6" t="s">
        <v>76</v>
      </c>
      <c r="J65" s="7">
        <v>150000</v>
      </c>
      <c r="K65" s="2">
        <v>1</v>
      </c>
      <c r="L65" s="7">
        <v>91999.94302540012</v>
      </c>
      <c r="M65" s="3" t="str">
        <f>VLOOKUP(F65,[2]Inventario!$A:$F,6,0)</f>
        <v>G4N1CQ1440920LUH</v>
      </c>
      <c r="N65" s="3" t="s">
        <v>542</v>
      </c>
    </row>
    <row r="66" spans="1:14" x14ac:dyDescent="0.25">
      <c r="A66" s="3" t="s">
        <v>369</v>
      </c>
      <c r="B66" s="3" t="s">
        <v>63</v>
      </c>
      <c r="C66" s="3" t="s">
        <v>21</v>
      </c>
      <c r="D66" s="3" t="s">
        <v>8</v>
      </c>
      <c r="E66" s="3" t="s">
        <v>18</v>
      </c>
      <c r="F66" s="3" t="s">
        <v>73</v>
      </c>
      <c r="G66" s="5">
        <v>45444</v>
      </c>
      <c r="H66" s="6">
        <v>2024</v>
      </c>
      <c r="I66" s="6" t="s">
        <v>76</v>
      </c>
      <c r="J66" s="7">
        <v>180000</v>
      </c>
      <c r="K66" s="2">
        <v>1</v>
      </c>
      <c r="L66" s="7">
        <v>133700.5765</v>
      </c>
      <c r="M66" s="3" t="str">
        <f>VLOOKUP(F66,[2]Inventario!$A:$F,6,0)</f>
        <v>G072JN0734420PKE</v>
      </c>
      <c r="N66" s="3" t="s">
        <v>542</v>
      </c>
    </row>
    <row r="67" spans="1:14" x14ac:dyDescent="0.25">
      <c r="A67" s="3" t="s">
        <v>370</v>
      </c>
      <c r="B67" s="3" t="s">
        <v>70</v>
      </c>
      <c r="C67" s="3" t="s">
        <v>21</v>
      </c>
      <c r="D67" s="3" t="s">
        <v>9</v>
      </c>
      <c r="E67" s="3" t="s">
        <v>19</v>
      </c>
      <c r="F67" s="3" t="s">
        <v>74</v>
      </c>
      <c r="G67" s="5">
        <v>45444</v>
      </c>
      <c r="H67" s="6">
        <v>2024</v>
      </c>
      <c r="I67" s="6" t="s">
        <v>76</v>
      </c>
      <c r="J67" s="7">
        <v>170000</v>
      </c>
      <c r="K67" s="2">
        <v>1</v>
      </c>
      <c r="L67" s="7">
        <v>112159.25843945719</v>
      </c>
      <c r="M67" s="3" t="str">
        <f>VLOOKUP(F67,[2]Inventario!$A:$F,6,0)</f>
        <v>G4N1EL1635220A3C</v>
      </c>
      <c r="N67" s="3" t="s">
        <v>542</v>
      </c>
    </row>
    <row r="68" spans="1:14" x14ac:dyDescent="0.25">
      <c r="A68" s="3" t="s">
        <v>377</v>
      </c>
      <c r="B68" s="3" t="s">
        <v>71</v>
      </c>
      <c r="C68" s="3" t="s">
        <v>21</v>
      </c>
      <c r="D68" s="3" t="s">
        <v>9</v>
      </c>
      <c r="E68" s="3" t="s">
        <v>19</v>
      </c>
      <c r="F68" s="3" t="s">
        <v>75</v>
      </c>
      <c r="G68" s="5">
        <v>45444</v>
      </c>
      <c r="H68" s="6">
        <v>2024</v>
      </c>
      <c r="I68" s="6" t="s">
        <v>76</v>
      </c>
      <c r="J68" s="7">
        <v>170000</v>
      </c>
      <c r="K68" s="2">
        <v>1</v>
      </c>
      <c r="L68" s="7">
        <v>112159.25843945719</v>
      </c>
      <c r="M68" s="3" t="str">
        <f>VLOOKUP(F68,[2]Inventario!$A:$F,6,0)</f>
        <v>G4N1EL1635220A39</v>
      </c>
      <c r="N68" s="3" t="s">
        <v>542</v>
      </c>
    </row>
    <row r="69" spans="1:14" x14ac:dyDescent="0.25">
      <c r="A69" s="3" t="s">
        <v>339</v>
      </c>
      <c r="B69" s="3" t="s">
        <v>62</v>
      </c>
      <c r="C69" s="3" t="s">
        <v>21</v>
      </c>
      <c r="D69" s="3" t="s">
        <v>8</v>
      </c>
      <c r="E69" s="3" t="s">
        <v>18</v>
      </c>
      <c r="F69" s="3" t="s">
        <v>64</v>
      </c>
      <c r="G69" s="5">
        <v>45413</v>
      </c>
      <c r="H69" s="6">
        <v>2024</v>
      </c>
      <c r="I69" s="6" t="s">
        <v>61</v>
      </c>
      <c r="J69" s="7">
        <v>180000</v>
      </c>
      <c r="K69" s="2">
        <v>1</v>
      </c>
      <c r="L69" s="7">
        <v>132968.98633333333</v>
      </c>
      <c r="M69" s="3" t="str">
        <f>VLOOKUP(F69,[2]Inventario!$A:$F,6,0)</f>
        <v>G072JN0734361G63</v>
      </c>
      <c r="N69" s="3" t="s">
        <v>542</v>
      </c>
    </row>
    <row r="70" spans="1:14" x14ac:dyDescent="0.25">
      <c r="A70" s="3" t="s">
        <v>340</v>
      </c>
      <c r="B70" s="3" t="s">
        <v>62</v>
      </c>
      <c r="C70" s="3" t="s">
        <v>21</v>
      </c>
      <c r="D70" s="3" t="s">
        <v>8</v>
      </c>
      <c r="E70" s="3" t="s">
        <v>18</v>
      </c>
      <c r="F70" s="3" t="s">
        <v>65</v>
      </c>
      <c r="G70" s="5">
        <v>45413</v>
      </c>
      <c r="H70" s="6">
        <v>2024</v>
      </c>
      <c r="I70" s="6" t="s">
        <v>61</v>
      </c>
      <c r="J70" s="7">
        <v>180000</v>
      </c>
      <c r="K70" s="2">
        <v>1</v>
      </c>
      <c r="L70" s="7">
        <v>132968.98633333333</v>
      </c>
      <c r="M70" s="3" t="str">
        <f>VLOOKUP(F70,[2]Inventario!$A:$F,6,0)</f>
        <v>G072JN0734362F1J</v>
      </c>
      <c r="N70" s="3" t="s">
        <v>542</v>
      </c>
    </row>
    <row r="71" spans="1:14" x14ac:dyDescent="0.25">
      <c r="A71" s="3" t="s">
        <v>341</v>
      </c>
      <c r="B71" s="3" t="s">
        <v>62</v>
      </c>
      <c r="C71" s="3" t="s">
        <v>21</v>
      </c>
      <c r="D71" s="3" t="s">
        <v>8</v>
      </c>
      <c r="E71" s="3" t="s">
        <v>18</v>
      </c>
      <c r="F71" s="3" t="s">
        <v>66</v>
      </c>
      <c r="G71" s="5">
        <v>45413</v>
      </c>
      <c r="H71" s="6">
        <v>2024</v>
      </c>
      <c r="I71" s="6" t="s">
        <v>61</v>
      </c>
      <c r="J71" s="7">
        <v>180000</v>
      </c>
      <c r="K71" s="2">
        <v>1</v>
      </c>
      <c r="L71" s="7">
        <v>132968.98633333333</v>
      </c>
      <c r="M71" s="3" t="str">
        <f>VLOOKUP(F71,[2]Inventario!$A:$F,6,0)</f>
        <v>G072JN08401616CF</v>
      </c>
      <c r="N71" s="3" t="s">
        <v>542</v>
      </c>
    </row>
    <row r="72" spans="1:14" x14ac:dyDescent="0.25">
      <c r="A72" s="3" t="s">
        <v>342</v>
      </c>
      <c r="B72" s="3" t="s">
        <v>63</v>
      </c>
      <c r="C72" s="3" t="s">
        <v>21</v>
      </c>
      <c r="D72" s="3" t="s">
        <v>8</v>
      </c>
      <c r="E72" s="3" t="s">
        <v>18</v>
      </c>
      <c r="F72" s="3" t="s">
        <v>67</v>
      </c>
      <c r="G72" s="5">
        <v>45413</v>
      </c>
      <c r="H72" s="6">
        <v>2024</v>
      </c>
      <c r="I72" s="6" t="s">
        <v>61</v>
      </c>
      <c r="J72" s="7">
        <v>180000</v>
      </c>
      <c r="K72" s="2">
        <v>1</v>
      </c>
      <c r="L72" s="7">
        <v>132968.98633333333</v>
      </c>
      <c r="M72" s="3" t="str">
        <f>VLOOKUP(F72,[2]Inventario!$A:$F,6,0)</f>
        <v>G072JN0734362EUF</v>
      </c>
      <c r="N72" s="3" t="s">
        <v>542</v>
      </c>
    </row>
    <row r="73" spans="1:14" x14ac:dyDescent="0.25">
      <c r="A73" s="3" t="s">
        <v>367</v>
      </c>
      <c r="B73" s="3" t="s">
        <v>28</v>
      </c>
      <c r="C73" s="3" t="s">
        <v>21</v>
      </c>
      <c r="D73" s="3" t="s">
        <v>9</v>
      </c>
      <c r="E73" s="3" t="s">
        <v>19</v>
      </c>
      <c r="F73" s="3" t="s">
        <v>68</v>
      </c>
      <c r="G73" s="5">
        <v>45413</v>
      </c>
      <c r="H73" s="6">
        <v>2024</v>
      </c>
      <c r="I73" s="6" t="s">
        <v>61</v>
      </c>
      <c r="J73" s="7">
        <v>150000</v>
      </c>
      <c r="K73" s="2">
        <v>1</v>
      </c>
      <c r="L73" s="7">
        <v>112311.92983333331</v>
      </c>
      <c r="M73" s="3" t="e">
        <f>VLOOKUP(F73,[2]Inventario!$A:$F,6,0)</f>
        <v>#N/A</v>
      </c>
      <c r="N73" s="3" t="s">
        <v>542</v>
      </c>
    </row>
    <row r="74" spans="1:14" x14ac:dyDescent="0.25">
      <c r="A74" s="3" t="s">
        <v>310</v>
      </c>
      <c r="B74" s="3" t="s">
        <v>41</v>
      </c>
      <c r="C74" s="3" t="s">
        <v>21</v>
      </c>
      <c r="D74" s="3" t="s">
        <v>10</v>
      </c>
      <c r="E74" s="3" t="s">
        <v>20</v>
      </c>
      <c r="F74" s="3" t="s">
        <v>52</v>
      </c>
      <c r="G74" s="5">
        <v>45383</v>
      </c>
      <c r="H74" s="6">
        <v>2024</v>
      </c>
      <c r="I74" s="6" t="s">
        <v>60</v>
      </c>
      <c r="J74" s="7">
        <v>150000</v>
      </c>
      <c r="K74" s="2">
        <v>1</v>
      </c>
      <c r="L74" s="7">
        <v>99243.180978762684</v>
      </c>
      <c r="M74" s="3" t="str">
        <f>VLOOKUP(F74,[2]Inventario!$A:$F,6,0)</f>
        <v>G4N1CQ1434650VVQ</v>
      </c>
      <c r="N74" s="3" t="s">
        <v>542</v>
      </c>
    </row>
    <row r="75" spans="1:14" x14ac:dyDescent="0.25">
      <c r="A75" s="3" t="s">
        <v>311</v>
      </c>
      <c r="B75" s="3" t="s">
        <v>41</v>
      </c>
      <c r="C75" s="3" t="s">
        <v>21</v>
      </c>
      <c r="D75" s="3" t="s">
        <v>10</v>
      </c>
      <c r="E75" s="3" t="s">
        <v>20</v>
      </c>
      <c r="F75" s="3" t="s">
        <v>53</v>
      </c>
      <c r="G75" s="5">
        <v>45383</v>
      </c>
      <c r="H75" s="6">
        <v>2024</v>
      </c>
      <c r="I75" s="6" t="s">
        <v>60</v>
      </c>
      <c r="J75" s="7">
        <v>150000</v>
      </c>
      <c r="K75" s="2">
        <v>1</v>
      </c>
      <c r="L75" s="7">
        <v>99243.180978762684</v>
      </c>
      <c r="M75" s="3" t="str">
        <f>VLOOKUP(F75,[2]Inventario!$A:$F,6,0)</f>
        <v>G4N1CQ1434650TLM</v>
      </c>
      <c r="N75" s="3" t="s">
        <v>542</v>
      </c>
    </row>
    <row r="76" spans="1:14" x14ac:dyDescent="0.25">
      <c r="A76" s="3" t="s">
        <v>312</v>
      </c>
      <c r="B76" s="3" t="s">
        <v>45</v>
      </c>
      <c r="C76" s="3" t="s">
        <v>21</v>
      </c>
      <c r="D76" s="3" t="s">
        <v>50</v>
      </c>
      <c r="E76" s="3" t="s">
        <v>51</v>
      </c>
      <c r="F76" s="3" t="s">
        <v>54</v>
      </c>
      <c r="G76" s="5">
        <v>45383</v>
      </c>
      <c r="H76" s="6">
        <v>2024</v>
      </c>
      <c r="I76" s="6" t="s">
        <v>60</v>
      </c>
      <c r="J76" s="7">
        <v>210000</v>
      </c>
      <c r="K76" s="2">
        <v>1</v>
      </c>
      <c r="L76" s="7">
        <v>176557.52983333333</v>
      </c>
      <c r="M76" s="3" t="str">
        <f>VLOOKUP(F76,[2]Inventario!$A:$F,6,0)</f>
        <v>G072JM08347708HP</v>
      </c>
      <c r="N76" s="3" t="s">
        <v>542</v>
      </c>
    </row>
    <row r="77" spans="1:14" x14ac:dyDescent="0.25">
      <c r="A77" s="3" t="s">
        <v>333</v>
      </c>
      <c r="B77" s="3" t="s">
        <v>46</v>
      </c>
      <c r="C77" s="3" t="s">
        <v>21</v>
      </c>
      <c r="D77" s="3" t="s">
        <v>10</v>
      </c>
      <c r="E77" s="3" t="s">
        <v>20</v>
      </c>
      <c r="F77" s="3" t="s">
        <v>483</v>
      </c>
      <c r="G77" s="5">
        <v>45383</v>
      </c>
      <c r="H77" s="6">
        <v>2024</v>
      </c>
      <c r="I77" s="6" t="s">
        <v>60</v>
      </c>
      <c r="J77" s="7">
        <v>160000</v>
      </c>
      <c r="K77" s="2">
        <v>1</v>
      </c>
      <c r="L77" s="7">
        <v>115027.061</v>
      </c>
      <c r="M77" s="3" t="str">
        <f>VLOOKUP(F77,[2]Inventario!$A:$F,6,0)</f>
        <v>G4N1EL1633850LFK</v>
      </c>
      <c r="N77" s="3" t="s">
        <v>542</v>
      </c>
    </row>
    <row r="78" spans="1:14" x14ac:dyDescent="0.25">
      <c r="A78" s="3" t="s">
        <v>334</v>
      </c>
      <c r="B78" s="3" t="s">
        <v>28</v>
      </c>
      <c r="C78" s="3" t="s">
        <v>21</v>
      </c>
      <c r="D78" s="3" t="s">
        <v>9</v>
      </c>
      <c r="E78" s="3" t="s">
        <v>19</v>
      </c>
      <c r="F78" s="3" t="s">
        <v>55</v>
      </c>
      <c r="G78" s="5">
        <v>45383</v>
      </c>
      <c r="H78" s="6">
        <v>2024</v>
      </c>
      <c r="I78" s="6" t="s">
        <v>60</v>
      </c>
      <c r="J78" s="7">
        <v>150000</v>
      </c>
      <c r="K78" s="2">
        <v>1</v>
      </c>
      <c r="L78" s="7">
        <v>131176.94399999999</v>
      </c>
      <c r="M78" s="3" t="str">
        <f>VLOOKUP(F78,[2]Inventario!$A:$F,6,0)</f>
        <v>G4N1EL16347202TT</v>
      </c>
      <c r="N78" s="3" t="s">
        <v>542</v>
      </c>
    </row>
    <row r="79" spans="1:14" x14ac:dyDescent="0.25">
      <c r="A79" s="3" t="s">
        <v>335</v>
      </c>
      <c r="B79" s="3" t="s">
        <v>28</v>
      </c>
      <c r="C79" s="3" t="s">
        <v>21</v>
      </c>
      <c r="D79" s="3" t="s">
        <v>9</v>
      </c>
      <c r="E79" s="3" t="s">
        <v>19</v>
      </c>
      <c r="F79" s="3" t="s">
        <v>56</v>
      </c>
      <c r="G79" s="5">
        <v>45383</v>
      </c>
      <c r="H79" s="6">
        <v>2024</v>
      </c>
      <c r="I79" s="6" t="s">
        <v>60</v>
      </c>
      <c r="J79" s="7">
        <v>150000</v>
      </c>
      <c r="K79" s="2">
        <v>1</v>
      </c>
      <c r="L79" s="7">
        <v>131328.39350000001</v>
      </c>
      <c r="M79" s="3" t="str">
        <f>VLOOKUP(F79,[2]Inventario!$A:$F,6,0)</f>
        <v>G071EL172486105E</v>
      </c>
      <c r="N79" s="3" t="s">
        <v>542</v>
      </c>
    </row>
    <row r="80" spans="1:14" x14ac:dyDescent="0.25">
      <c r="A80" s="3" t="s">
        <v>336</v>
      </c>
      <c r="B80" s="3" t="s">
        <v>47</v>
      </c>
      <c r="C80" s="3" t="s">
        <v>21</v>
      </c>
      <c r="D80" s="3" t="s">
        <v>8</v>
      </c>
      <c r="E80" s="3" t="s">
        <v>18</v>
      </c>
      <c r="F80" s="3" t="s">
        <v>57</v>
      </c>
      <c r="G80" s="5">
        <v>45383</v>
      </c>
      <c r="H80" s="6">
        <v>2024</v>
      </c>
      <c r="I80" s="6" t="s">
        <v>60</v>
      </c>
      <c r="J80" s="7">
        <v>190000</v>
      </c>
      <c r="K80" s="2">
        <v>1</v>
      </c>
      <c r="L80" s="7">
        <v>136942.94593333334</v>
      </c>
      <c r="M80" s="3" t="str">
        <f>VLOOKUP(F80,[2]Inventario!$A:$F,6,0)</f>
        <v>G072JN083514033F</v>
      </c>
      <c r="N80" s="3" t="s">
        <v>542</v>
      </c>
    </row>
    <row r="81" spans="1:14" x14ac:dyDescent="0.25">
      <c r="A81" s="3" t="s">
        <v>337</v>
      </c>
      <c r="B81" s="3" t="s">
        <v>48</v>
      </c>
      <c r="C81" s="3" t="s">
        <v>21</v>
      </c>
      <c r="D81" s="3" t="s">
        <v>50</v>
      </c>
      <c r="E81" s="3" t="s">
        <v>51</v>
      </c>
      <c r="F81" s="3" t="s">
        <v>58</v>
      </c>
      <c r="G81" s="5">
        <v>45383</v>
      </c>
      <c r="H81" s="6">
        <v>2024</v>
      </c>
      <c r="I81" s="6" t="s">
        <v>60</v>
      </c>
      <c r="J81" s="7">
        <v>210000</v>
      </c>
      <c r="K81" s="2">
        <v>1</v>
      </c>
      <c r="L81" s="7">
        <v>175685.56100000002</v>
      </c>
      <c r="M81" s="3" t="str">
        <f>VLOOKUP(F81,[2]Inventario!$A:$F,6,0)</f>
        <v>G072JM083464149N</v>
      </c>
      <c r="N81" s="3" t="s">
        <v>542</v>
      </c>
    </row>
    <row r="82" spans="1:14" x14ac:dyDescent="0.25">
      <c r="A82" s="3" t="s">
        <v>338</v>
      </c>
      <c r="B82" s="3" t="s">
        <v>49</v>
      </c>
      <c r="C82" s="3" t="s">
        <v>21</v>
      </c>
      <c r="D82" s="3" t="s">
        <v>9</v>
      </c>
      <c r="E82" s="3" t="s">
        <v>19</v>
      </c>
      <c r="F82" s="3" t="s">
        <v>59</v>
      </c>
      <c r="G82" s="5">
        <v>45383</v>
      </c>
      <c r="H82" s="6">
        <v>2024</v>
      </c>
      <c r="I82" s="6" t="s">
        <v>60</v>
      </c>
      <c r="J82" s="7">
        <v>190000</v>
      </c>
      <c r="K82" s="2">
        <v>1</v>
      </c>
      <c r="L82" s="7">
        <v>133700.5765</v>
      </c>
      <c r="M82" s="3" t="str">
        <f>VLOOKUP(F82,[2]Inventario!$A:$F,6,0)</f>
        <v>G072JN0734420PAL</v>
      </c>
      <c r="N82" s="3" t="s">
        <v>542</v>
      </c>
    </row>
    <row r="83" spans="1:14" x14ac:dyDescent="0.25">
      <c r="A83" s="3" t="s">
        <v>447</v>
      </c>
      <c r="B83" s="3" t="s">
        <v>63</v>
      </c>
      <c r="C83" s="3" t="s">
        <v>178</v>
      </c>
      <c r="D83" s="3" t="s">
        <v>10</v>
      </c>
      <c r="E83" s="2" t="s">
        <v>20</v>
      </c>
      <c r="F83" s="3" t="s">
        <v>179</v>
      </c>
      <c r="G83" s="9">
        <v>45352</v>
      </c>
      <c r="H83" s="6">
        <v>2024</v>
      </c>
      <c r="I83" s="6" t="s">
        <v>60</v>
      </c>
      <c r="J83" s="7">
        <v>0</v>
      </c>
      <c r="K83" s="2">
        <v>1</v>
      </c>
      <c r="L83" s="7">
        <v>79240.889288888895</v>
      </c>
      <c r="M83" s="3" t="e">
        <f>VLOOKUP(F83,[2]Inventario!$A:$F,6,0)</f>
        <v>#N/A</v>
      </c>
      <c r="N83" s="3" t="s">
        <v>542</v>
      </c>
    </row>
    <row r="84" spans="1:14" x14ac:dyDescent="0.25">
      <c r="A84" s="3" t="s">
        <v>307</v>
      </c>
      <c r="B84" s="3" t="s">
        <v>41</v>
      </c>
      <c r="C84" s="3" t="s">
        <v>21</v>
      </c>
      <c r="D84" s="3" t="s">
        <v>8</v>
      </c>
      <c r="E84" s="3" t="s">
        <v>18</v>
      </c>
      <c r="F84" s="3" t="s">
        <v>42</v>
      </c>
      <c r="G84" s="5">
        <v>45352</v>
      </c>
      <c r="H84" s="6">
        <v>2024</v>
      </c>
      <c r="I84" s="6" t="s">
        <v>44</v>
      </c>
      <c r="J84" s="7">
        <v>190000</v>
      </c>
      <c r="K84" s="2">
        <v>1</v>
      </c>
      <c r="L84" s="7">
        <v>155466.06100000002</v>
      </c>
      <c r="M84" s="3" t="str">
        <f>VLOOKUP(F84,[2]Inventario!$A:$F,6,0)</f>
        <v>G4N1EL1130460TUM</v>
      </c>
      <c r="N84" s="3" t="s">
        <v>542</v>
      </c>
    </row>
    <row r="85" spans="1:14" x14ac:dyDescent="0.25">
      <c r="A85" s="3" t="s">
        <v>308</v>
      </c>
      <c r="B85" s="3" t="s">
        <v>41</v>
      </c>
      <c r="C85" s="3" t="s">
        <v>21</v>
      </c>
      <c r="D85" s="3" t="s">
        <v>9</v>
      </c>
      <c r="E85" s="3" t="s">
        <v>19</v>
      </c>
      <c r="F85" s="3" t="s">
        <v>43</v>
      </c>
      <c r="G85" s="5">
        <v>45352</v>
      </c>
      <c r="H85" s="6">
        <v>2024</v>
      </c>
      <c r="I85" s="6" t="s">
        <v>44</v>
      </c>
      <c r="J85" s="7">
        <v>160000</v>
      </c>
      <c r="K85" s="2">
        <v>1</v>
      </c>
      <c r="L85" s="7">
        <v>94942.950562967075</v>
      </c>
      <c r="M85" s="3" t="str">
        <f>VLOOKUP(F85,[2]Inventario!$A:$F,6,0)</f>
        <v>G072JN08347413RH</v>
      </c>
      <c r="N85" s="3" t="s">
        <v>542</v>
      </c>
    </row>
    <row r="86" spans="1:14" x14ac:dyDescent="0.25">
      <c r="A86" s="3" t="s">
        <v>309</v>
      </c>
      <c r="B86" s="3" t="s">
        <v>41</v>
      </c>
      <c r="C86" s="3" t="s">
        <v>21</v>
      </c>
      <c r="D86" s="3" t="s">
        <v>9</v>
      </c>
      <c r="E86" s="3" t="s">
        <v>19</v>
      </c>
      <c r="F86" s="3" t="s">
        <v>43</v>
      </c>
      <c r="G86" s="5">
        <v>45352</v>
      </c>
      <c r="H86" s="6">
        <v>2024</v>
      </c>
      <c r="I86" s="6" t="s">
        <v>44</v>
      </c>
      <c r="J86" s="7">
        <v>160000</v>
      </c>
      <c r="K86" s="2">
        <v>1</v>
      </c>
      <c r="L86" s="7">
        <v>131176.94399999999</v>
      </c>
      <c r="M86" s="3" t="str">
        <f>VLOOKUP(F86,[2]Inventario!$A:$F,6,0)</f>
        <v>G072JN08347413RH</v>
      </c>
      <c r="N86" s="3" t="s">
        <v>542</v>
      </c>
    </row>
    <row r="87" spans="1:14" x14ac:dyDescent="0.25">
      <c r="A87" s="3" t="s">
        <v>299</v>
      </c>
      <c r="B87" s="3" t="s">
        <v>27</v>
      </c>
      <c r="C87" s="3" t="s">
        <v>21</v>
      </c>
      <c r="D87" s="3" t="s">
        <v>9</v>
      </c>
      <c r="E87" s="3" t="s">
        <v>19</v>
      </c>
      <c r="F87" s="3" t="s">
        <v>484</v>
      </c>
      <c r="G87" s="5">
        <v>45323</v>
      </c>
      <c r="H87" s="6">
        <v>2024</v>
      </c>
      <c r="I87" s="6" t="s">
        <v>40</v>
      </c>
      <c r="J87" s="7">
        <v>150000</v>
      </c>
      <c r="K87" s="2">
        <v>1</v>
      </c>
      <c r="L87" s="7">
        <v>96184.729288888891</v>
      </c>
      <c r="M87" s="3" t="str">
        <f>VLOOKUP(F87,[2]Inventario!$A:$F,6,0)</f>
        <v>G071EL204023035H</v>
      </c>
      <c r="N87" s="3" t="s">
        <v>542</v>
      </c>
    </row>
    <row r="88" spans="1:14" x14ac:dyDescent="0.25">
      <c r="A88" s="3" t="s">
        <v>300</v>
      </c>
      <c r="B88" s="3" t="s">
        <v>28</v>
      </c>
      <c r="C88" s="3" t="s">
        <v>21</v>
      </c>
      <c r="D88" s="3" t="s">
        <v>8</v>
      </c>
      <c r="E88" s="3" t="s">
        <v>18</v>
      </c>
      <c r="F88" s="3" t="s">
        <v>33</v>
      </c>
      <c r="G88" s="5">
        <v>45323</v>
      </c>
      <c r="H88" s="6">
        <v>2024</v>
      </c>
      <c r="I88" s="6" t="s">
        <v>40</v>
      </c>
      <c r="J88" s="7">
        <v>170000</v>
      </c>
      <c r="K88" s="2">
        <v>1</v>
      </c>
      <c r="L88" s="7">
        <v>117364.52928888888</v>
      </c>
      <c r="M88" s="3" t="str">
        <f>VLOOKUP(F88,[2]Inventario!$A:$F,6,0)</f>
        <v>G072JN0733821C1N</v>
      </c>
      <c r="N88" s="3" t="s">
        <v>542</v>
      </c>
    </row>
    <row r="89" spans="1:14" x14ac:dyDescent="0.25">
      <c r="A89" s="3" t="s">
        <v>301</v>
      </c>
      <c r="B89" s="3" t="s">
        <v>28</v>
      </c>
      <c r="C89" s="3" t="s">
        <v>21</v>
      </c>
      <c r="D89" s="3" t="s">
        <v>8</v>
      </c>
      <c r="E89" s="3" t="s">
        <v>18</v>
      </c>
      <c r="F89" s="3" t="s">
        <v>34</v>
      </c>
      <c r="G89" s="5">
        <v>45323</v>
      </c>
      <c r="H89" s="6">
        <v>2024</v>
      </c>
      <c r="I89" s="6" t="s">
        <v>40</v>
      </c>
      <c r="J89" s="7">
        <v>170000</v>
      </c>
      <c r="K89" s="2">
        <v>1</v>
      </c>
      <c r="L89" s="7">
        <v>151381.64350000001</v>
      </c>
      <c r="M89" s="3" t="str">
        <f>VLOOKUP(F89,[2]Inventario!$A:$F,6,0)</f>
        <v>G072JN0733440U83</v>
      </c>
      <c r="N89" s="3" t="s">
        <v>542</v>
      </c>
    </row>
    <row r="90" spans="1:14" x14ac:dyDescent="0.25">
      <c r="A90" s="3" t="s">
        <v>302</v>
      </c>
      <c r="B90" s="3" t="s">
        <v>28</v>
      </c>
      <c r="C90" s="3" t="s">
        <v>21</v>
      </c>
      <c r="D90" s="3" t="s">
        <v>8</v>
      </c>
      <c r="E90" s="3" t="s">
        <v>18</v>
      </c>
      <c r="F90" s="3" t="s">
        <v>35</v>
      </c>
      <c r="G90" s="5">
        <v>45323</v>
      </c>
      <c r="H90" s="6">
        <v>2024</v>
      </c>
      <c r="I90" s="6" t="s">
        <v>40</v>
      </c>
      <c r="J90" s="7">
        <v>170000</v>
      </c>
      <c r="K90" s="2">
        <v>1</v>
      </c>
      <c r="L90" s="7">
        <v>170000</v>
      </c>
      <c r="M90" s="3" t="e">
        <f>VLOOKUP(F90,[2]Inventario!$A:$F,6,0)</f>
        <v>#REF!</v>
      </c>
      <c r="N90" s="3" t="s">
        <v>542</v>
      </c>
    </row>
    <row r="91" spans="1:14" x14ac:dyDescent="0.25">
      <c r="A91" s="3" t="s">
        <v>303</v>
      </c>
      <c r="B91" s="3" t="s">
        <v>29</v>
      </c>
      <c r="C91" s="3" t="s">
        <v>21</v>
      </c>
      <c r="D91" s="3" t="s">
        <v>8</v>
      </c>
      <c r="E91" s="3" t="s">
        <v>18</v>
      </c>
      <c r="F91" s="3" t="s">
        <v>36</v>
      </c>
      <c r="G91" s="5">
        <v>45323</v>
      </c>
      <c r="H91" s="6">
        <v>2024</v>
      </c>
      <c r="I91" s="6" t="s">
        <v>40</v>
      </c>
      <c r="J91" s="7">
        <v>190000</v>
      </c>
      <c r="K91" s="2">
        <v>1</v>
      </c>
      <c r="L91" s="7">
        <v>117364.52928888888</v>
      </c>
      <c r="M91" s="3" t="str">
        <f>VLOOKUP(F91,[2]Inventario!$A:$F,6,0)</f>
        <v>G072JN0733821NDT</v>
      </c>
      <c r="N91" s="3" t="s">
        <v>542</v>
      </c>
    </row>
    <row r="92" spans="1:14" x14ac:dyDescent="0.25">
      <c r="A92" s="3" t="s">
        <v>304</v>
      </c>
      <c r="B92" s="3" t="s">
        <v>30</v>
      </c>
      <c r="C92" s="3" t="s">
        <v>21</v>
      </c>
      <c r="D92" s="3" t="s">
        <v>8</v>
      </c>
      <c r="E92" s="3" t="s">
        <v>18</v>
      </c>
      <c r="F92" s="3" t="s">
        <v>37</v>
      </c>
      <c r="G92" s="5">
        <v>45323</v>
      </c>
      <c r="H92" s="6">
        <v>2024</v>
      </c>
      <c r="I92" s="6" t="s">
        <v>40</v>
      </c>
      <c r="J92" s="7">
        <v>190000</v>
      </c>
      <c r="K92" s="2">
        <v>1</v>
      </c>
      <c r="L92" s="7">
        <v>170000</v>
      </c>
      <c r="M92" s="3" t="e">
        <f>VLOOKUP(F92,[2]Inventario!$A:$F,6,0)</f>
        <v>#REF!</v>
      </c>
      <c r="N92" s="3" t="s">
        <v>542</v>
      </c>
    </row>
    <row r="93" spans="1:14" x14ac:dyDescent="0.25">
      <c r="A93" s="3" t="s">
        <v>305</v>
      </c>
      <c r="B93" s="3" t="s">
        <v>31</v>
      </c>
      <c r="C93" s="3" t="s">
        <v>21</v>
      </c>
      <c r="D93" s="3" t="s">
        <v>10</v>
      </c>
      <c r="E93" s="3" t="s">
        <v>20</v>
      </c>
      <c r="F93" s="3" t="s">
        <v>38</v>
      </c>
      <c r="G93" s="5">
        <v>45323</v>
      </c>
      <c r="H93" s="6">
        <v>2024</v>
      </c>
      <c r="I93" s="6" t="s">
        <v>40</v>
      </c>
      <c r="J93" s="7">
        <v>150000</v>
      </c>
      <c r="K93" s="2">
        <v>1</v>
      </c>
      <c r="L93" s="7">
        <v>99243.180978762684</v>
      </c>
      <c r="M93" s="3" t="e">
        <f>VLOOKUP(F93,[2]Inventario!$A:$F,6,0)</f>
        <v>#N/A</v>
      </c>
      <c r="N93" s="3" t="s">
        <v>542</v>
      </c>
    </row>
    <row r="94" spans="1:14" x14ac:dyDescent="0.25">
      <c r="A94" s="3" t="s">
        <v>306</v>
      </c>
      <c r="B94" s="3" t="s">
        <v>32</v>
      </c>
      <c r="C94" s="3" t="s">
        <v>21</v>
      </c>
      <c r="D94" s="3" t="s">
        <v>8</v>
      </c>
      <c r="E94" s="3" t="s">
        <v>18</v>
      </c>
      <c r="F94" s="3" t="s">
        <v>39</v>
      </c>
      <c r="G94" s="5">
        <v>45323</v>
      </c>
      <c r="H94" s="6">
        <v>2024</v>
      </c>
      <c r="I94" s="6" t="s">
        <v>40</v>
      </c>
      <c r="J94" s="7">
        <v>190000</v>
      </c>
      <c r="K94" s="2">
        <v>1</v>
      </c>
      <c r="L94" s="7">
        <v>117364.52928888888</v>
      </c>
      <c r="M94" s="3" t="e">
        <f>VLOOKUP(F94,[2]Inventario!$A:$F,6,0)</f>
        <v>#N/A</v>
      </c>
      <c r="N94" s="3" t="s">
        <v>542</v>
      </c>
    </row>
    <row r="95" spans="1:14" x14ac:dyDescent="0.25">
      <c r="A95" s="3" t="s">
        <v>295</v>
      </c>
      <c r="B95" s="3" t="s">
        <v>2</v>
      </c>
      <c r="C95" s="3" t="s">
        <v>21</v>
      </c>
      <c r="D95" s="3" t="s">
        <v>8</v>
      </c>
      <c r="E95" s="3" t="s">
        <v>18</v>
      </c>
      <c r="F95" s="3" t="s">
        <v>13</v>
      </c>
      <c r="G95" s="5">
        <v>45292</v>
      </c>
      <c r="H95" s="6">
        <v>2024</v>
      </c>
      <c r="I95" s="6" t="s">
        <v>25</v>
      </c>
      <c r="J95" s="10">
        <v>210000</v>
      </c>
      <c r="K95" s="2">
        <v>1</v>
      </c>
      <c r="L95" s="7">
        <v>121953.30706666666</v>
      </c>
      <c r="M95" s="3" t="str">
        <f>VLOOKUP(F95,[2]Inventario!$A:$F,6,0)</f>
        <v>G070VM2422250W62</v>
      </c>
      <c r="N95" s="3" t="s">
        <v>542</v>
      </c>
    </row>
    <row r="96" spans="1:14" x14ac:dyDescent="0.25">
      <c r="A96" s="3" t="s">
        <v>296</v>
      </c>
      <c r="B96" s="3" t="s">
        <v>3</v>
      </c>
      <c r="C96" s="3" t="s">
        <v>21</v>
      </c>
      <c r="D96" s="3" t="s">
        <v>9</v>
      </c>
      <c r="E96" s="3" t="s">
        <v>19</v>
      </c>
      <c r="F96" s="3" t="s">
        <v>14</v>
      </c>
      <c r="G96" s="5">
        <v>45292</v>
      </c>
      <c r="H96" s="6">
        <v>2024</v>
      </c>
      <c r="I96" s="6" t="s">
        <v>25</v>
      </c>
      <c r="J96" s="10">
        <v>150000</v>
      </c>
      <c r="K96" s="2">
        <v>1</v>
      </c>
      <c r="L96" s="7">
        <v>96184.729288888891</v>
      </c>
      <c r="M96" s="3" t="e">
        <f>VLOOKUP(F96,[2]Inventario!$A:$F,6,0)</f>
        <v>#N/A</v>
      </c>
      <c r="N96" s="3" t="s">
        <v>542</v>
      </c>
    </row>
    <row r="97" spans="1:14" x14ac:dyDescent="0.25">
      <c r="A97" s="3" t="s">
        <v>297</v>
      </c>
      <c r="B97" s="3" t="s">
        <v>4</v>
      </c>
      <c r="C97" s="3" t="s">
        <v>21</v>
      </c>
      <c r="D97" s="3" t="s">
        <v>10</v>
      </c>
      <c r="E97" s="3" t="s">
        <v>20</v>
      </c>
      <c r="F97" s="3" t="s">
        <v>15</v>
      </c>
      <c r="G97" s="5">
        <v>45292</v>
      </c>
      <c r="H97" s="6">
        <v>2024</v>
      </c>
      <c r="I97" s="6" t="s">
        <v>25</v>
      </c>
      <c r="J97" s="10">
        <v>150000</v>
      </c>
      <c r="K97" s="2">
        <v>1</v>
      </c>
      <c r="L97" s="7">
        <v>79240.889288888895</v>
      </c>
      <c r="M97" s="3" t="e">
        <f>VLOOKUP(F97,[2]Inventario!$A:$F,6,0)</f>
        <v>#N/A</v>
      </c>
      <c r="N97" s="3" t="s">
        <v>542</v>
      </c>
    </row>
    <row r="98" spans="1:14" x14ac:dyDescent="0.25">
      <c r="A98" s="3" t="s">
        <v>298</v>
      </c>
      <c r="B98" s="3" t="s">
        <v>5</v>
      </c>
      <c r="C98" s="3" t="s">
        <v>21</v>
      </c>
      <c r="D98" s="3" t="s">
        <v>8</v>
      </c>
      <c r="E98" s="3" t="s">
        <v>18</v>
      </c>
      <c r="F98" s="3" t="s">
        <v>16</v>
      </c>
      <c r="G98" s="5">
        <v>45292</v>
      </c>
      <c r="H98" s="6">
        <v>2024</v>
      </c>
      <c r="I98" s="6" t="s">
        <v>25</v>
      </c>
      <c r="J98" s="10">
        <v>190000</v>
      </c>
      <c r="K98" s="2">
        <v>1</v>
      </c>
      <c r="L98" s="7">
        <v>111912.03333333333</v>
      </c>
      <c r="M98" s="3" t="str">
        <f>VLOOKUP(F98,[2]Inventario!$A:$F,6,0)</f>
        <v>G4N0VM143173027N</v>
      </c>
      <c r="N98" s="3" t="s">
        <v>542</v>
      </c>
    </row>
    <row r="99" spans="1:14" x14ac:dyDescent="0.25">
      <c r="A99" s="3" t="s">
        <v>279</v>
      </c>
      <c r="B99" s="3" t="s">
        <v>262</v>
      </c>
      <c r="C99" s="3" t="s">
        <v>21</v>
      </c>
      <c r="D99" s="3" t="s">
        <v>8</v>
      </c>
      <c r="E99" s="3" t="s">
        <v>18</v>
      </c>
      <c r="F99" s="3" t="s">
        <v>292</v>
      </c>
      <c r="G99" s="9">
        <v>45261</v>
      </c>
      <c r="H99" s="6">
        <v>2023</v>
      </c>
      <c r="I99" s="6" t="s">
        <v>287</v>
      </c>
      <c r="J99" s="7">
        <v>190000</v>
      </c>
      <c r="K99" s="2">
        <v>1</v>
      </c>
      <c r="L99" s="7">
        <v>111912.03333333333</v>
      </c>
      <c r="M99" s="3" t="str">
        <f>VLOOKUP(F99,[2]Inventario!$A:$F,6,0)</f>
        <v>G4N0VM143197042J</v>
      </c>
      <c r="N99" s="3" t="s">
        <v>542</v>
      </c>
    </row>
    <row r="100" spans="1:14" x14ac:dyDescent="0.25">
      <c r="A100" s="3" t="s">
        <v>280</v>
      </c>
      <c r="B100" s="3" t="s">
        <v>262</v>
      </c>
      <c r="C100" s="3" t="s">
        <v>21</v>
      </c>
      <c r="D100" s="3" t="s">
        <v>50</v>
      </c>
      <c r="E100" s="3" t="s">
        <v>51</v>
      </c>
      <c r="F100" s="3" t="s">
        <v>293</v>
      </c>
      <c r="G100" s="9">
        <v>45261</v>
      </c>
      <c r="H100" s="6">
        <v>2023</v>
      </c>
      <c r="I100" s="6" t="s">
        <v>287</v>
      </c>
      <c r="J100" s="7">
        <v>200000</v>
      </c>
      <c r="K100" s="2">
        <v>1</v>
      </c>
      <c r="L100" s="7">
        <v>121953.30706666666</v>
      </c>
      <c r="M100" s="3" t="str">
        <f>VLOOKUP(F100,[2]Inventario!$A:$F,6,0)</f>
        <v>G071R20930550Q7U</v>
      </c>
      <c r="N100" s="3" t="s">
        <v>542</v>
      </c>
    </row>
    <row r="101" spans="1:14" x14ac:dyDescent="0.25">
      <c r="A101" s="3" t="s">
        <v>275</v>
      </c>
      <c r="B101" s="3" t="s">
        <v>218</v>
      </c>
      <c r="C101" s="3" t="s">
        <v>21</v>
      </c>
      <c r="D101" s="3" t="s">
        <v>50</v>
      </c>
      <c r="E101" s="3" t="s">
        <v>51</v>
      </c>
      <c r="F101" s="3" t="s">
        <v>288</v>
      </c>
      <c r="G101" s="9">
        <v>45261</v>
      </c>
      <c r="H101" s="6">
        <v>2023</v>
      </c>
      <c r="I101" s="6" t="s">
        <v>287</v>
      </c>
      <c r="J101" s="7">
        <v>210000</v>
      </c>
      <c r="K101" s="2">
        <v>1</v>
      </c>
      <c r="L101" s="7">
        <v>126377.0604</v>
      </c>
      <c r="M101" s="3" t="str">
        <f>VLOOKUP(F101,[2]Inventario!$A:$F,6,0)</f>
        <v>G071R20932230HDV</v>
      </c>
      <c r="N101" s="3" t="s">
        <v>542</v>
      </c>
    </row>
    <row r="102" spans="1:14" x14ac:dyDescent="0.25">
      <c r="A102" s="3" t="s">
        <v>276</v>
      </c>
      <c r="B102" s="3" t="s">
        <v>251</v>
      </c>
      <c r="C102" s="3" t="s">
        <v>21</v>
      </c>
      <c r="D102" s="3" t="s">
        <v>8</v>
      </c>
      <c r="E102" s="3" t="s">
        <v>18</v>
      </c>
      <c r="F102" s="3" t="s">
        <v>289</v>
      </c>
      <c r="G102" s="9">
        <v>45261</v>
      </c>
      <c r="H102" s="6">
        <v>2023</v>
      </c>
      <c r="I102" s="6" t="s">
        <v>287</v>
      </c>
      <c r="J102" s="7">
        <v>190000</v>
      </c>
      <c r="K102" s="2">
        <v>1</v>
      </c>
      <c r="L102" s="7">
        <v>111912.03333333333</v>
      </c>
      <c r="M102" s="3" t="str">
        <f>VLOOKUP(F102,[2]Inventario!$A:$F,6,0)</f>
        <v>G070VM2631950ND4</v>
      </c>
      <c r="N102" s="3" t="s">
        <v>542</v>
      </c>
    </row>
    <row r="103" spans="1:14" x14ac:dyDescent="0.25">
      <c r="A103" s="3" t="s">
        <v>277</v>
      </c>
      <c r="B103" s="3" t="s">
        <v>294</v>
      </c>
      <c r="C103" s="3" t="s">
        <v>21</v>
      </c>
      <c r="D103" s="3" t="s">
        <v>9</v>
      </c>
      <c r="E103" s="3" t="s">
        <v>19</v>
      </c>
      <c r="F103" s="3" t="s">
        <v>290</v>
      </c>
      <c r="G103" s="9">
        <v>45261</v>
      </c>
      <c r="H103" s="6">
        <v>2023</v>
      </c>
      <c r="I103" s="6" t="s">
        <v>287</v>
      </c>
      <c r="J103" s="7">
        <v>150000</v>
      </c>
      <c r="K103" s="2">
        <v>1</v>
      </c>
      <c r="L103" s="7">
        <v>96184.729288888891</v>
      </c>
      <c r="M103" s="3" t="e">
        <f>VLOOKUP(F103,[2]Inventario!$A:$F,6,0)</f>
        <v>#N/A</v>
      </c>
      <c r="N103" s="3" t="s">
        <v>542</v>
      </c>
    </row>
    <row r="104" spans="1:14" x14ac:dyDescent="0.25">
      <c r="A104" s="3" t="s">
        <v>278</v>
      </c>
      <c r="B104" s="3" t="s">
        <v>48</v>
      </c>
      <c r="C104" s="3" t="s">
        <v>21</v>
      </c>
      <c r="D104" s="3" t="s">
        <v>50</v>
      </c>
      <c r="E104" s="3" t="s">
        <v>51</v>
      </c>
      <c r="F104" s="3" t="s">
        <v>291</v>
      </c>
      <c r="G104" s="9">
        <v>45261</v>
      </c>
      <c r="H104" s="6">
        <v>2023</v>
      </c>
      <c r="I104" s="6" t="s">
        <v>287</v>
      </c>
      <c r="J104" s="7">
        <v>210000</v>
      </c>
      <c r="K104" s="2">
        <v>1</v>
      </c>
      <c r="L104" s="7">
        <v>121953.30706666666</v>
      </c>
      <c r="M104" s="3" t="str">
        <f>VLOOKUP(F104,[2]Inventario!$A:$F,6,0)</f>
        <v>G071R20930550PP1</v>
      </c>
      <c r="N104" s="3" t="s">
        <v>542</v>
      </c>
    </row>
    <row r="105" spans="1:14" x14ac:dyDescent="0.25">
      <c r="A105" s="3" t="s">
        <v>257</v>
      </c>
      <c r="B105" s="3" t="s">
        <v>270</v>
      </c>
      <c r="C105" s="3" t="s">
        <v>21</v>
      </c>
      <c r="D105" s="3" t="s">
        <v>8</v>
      </c>
      <c r="E105" s="3" t="s">
        <v>18</v>
      </c>
      <c r="F105" s="3" t="s">
        <v>281</v>
      </c>
      <c r="G105" s="9">
        <v>45231</v>
      </c>
      <c r="H105" s="6">
        <v>2023</v>
      </c>
      <c r="I105" s="6" t="s">
        <v>269</v>
      </c>
      <c r="J105" s="7">
        <v>190000</v>
      </c>
      <c r="K105" s="2">
        <v>1</v>
      </c>
      <c r="L105" s="7">
        <v>108423.87666666668</v>
      </c>
      <c r="M105" s="3" t="str">
        <f>VLOOKUP(F105,[2]Inventario!$A:$F,6,0)</f>
        <v>G4N0VM14310607CG</v>
      </c>
      <c r="N105" s="3" t="s">
        <v>542</v>
      </c>
    </row>
    <row r="106" spans="1:14" x14ac:dyDescent="0.25">
      <c r="A106" s="3" t="s">
        <v>258</v>
      </c>
      <c r="B106" s="3" t="s">
        <v>271</v>
      </c>
      <c r="C106" s="3" t="s">
        <v>21</v>
      </c>
      <c r="D106" s="3" t="s">
        <v>9</v>
      </c>
      <c r="E106" s="3" t="s">
        <v>19</v>
      </c>
      <c r="F106" s="3" t="s">
        <v>282</v>
      </c>
      <c r="G106" s="9">
        <v>45231</v>
      </c>
      <c r="H106" s="6">
        <v>2023</v>
      </c>
      <c r="I106" s="6" t="s">
        <v>269</v>
      </c>
      <c r="J106" s="7">
        <v>175000</v>
      </c>
      <c r="K106" s="2">
        <v>1</v>
      </c>
      <c r="L106" s="7">
        <v>88065.627066666668</v>
      </c>
      <c r="M106" s="3" t="str">
        <f>VLOOKUP(F106,[2]Inventario!$A:$F,6,0)</f>
        <v>G071EL1731130CLT</v>
      </c>
      <c r="N106" s="3" t="s">
        <v>542</v>
      </c>
    </row>
    <row r="107" spans="1:14" x14ac:dyDescent="0.25">
      <c r="A107" s="3" t="s">
        <v>259</v>
      </c>
      <c r="B107" s="3" t="s">
        <v>28</v>
      </c>
      <c r="C107" s="3" t="s">
        <v>21</v>
      </c>
      <c r="D107" s="3" t="s">
        <v>8</v>
      </c>
      <c r="E107" s="3" t="s">
        <v>18</v>
      </c>
      <c r="F107" s="3" t="s">
        <v>283</v>
      </c>
      <c r="G107" s="9">
        <v>45231</v>
      </c>
      <c r="H107" s="6">
        <v>2023</v>
      </c>
      <c r="I107" s="6" t="s">
        <v>269</v>
      </c>
      <c r="J107" s="7">
        <v>170000</v>
      </c>
      <c r="K107" s="2">
        <v>1</v>
      </c>
      <c r="L107" s="7">
        <v>108423.87666666668</v>
      </c>
      <c r="M107" s="3" t="str">
        <f>VLOOKUP(F107,[2]Inventario!$A:$F,6,0)</f>
        <v>G4N0VM14310605TN</v>
      </c>
      <c r="N107" s="3" t="s">
        <v>542</v>
      </c>
    </row>
    <row r="108" spans="1:14" x14ac:dyDescent="0.25">
      <c r="A108" s="3" t="s">
        <v>266</v>
      </c>
      <c r="B108" s="3" t="s">
        <v>272</v>
      </c>
      <c r="C108" s="3" t="s">
        <v>21</v>
      </c>
      <c r="D108" s="3" t="s">
        <v>8</v>
      </c>
      <c r="E108" s="3" t="s">
        <v>18</v>
      </c>
      <c r="F108" s="3" t="s">
        <v>284</v>
      </c>
      <c r="G108" s="9">
        <v>45231</v>
      </c>
      <c r="H108" s="6">
        <v>2023</v>
      </c>
      <c r="I108" s="6" t="s">
        <v>269</v>
      </c>
      <c r="J108" s="7">
        <v>190000</v>
      </c>
      <c r="K108" s="2">
        <v>1</v>
      </c>
      <c r="L108" s="7">
        <v>117905.14039999999</v>
      </c>
      <c r="M108" s="3" t="str">
        <f>VLOOKUP(F108,[2]Inventario!$A:$F,6,0)</f>
        <v>G070VM2631840JV5</v>
      </c>
      <c r="N108" s="3" t="s">
        <v>542</v>
      </c>
    </row>
    <row r="109" spans="1:14" x14ac:dyDescent="0.25">
      <c r="A109" s="3" t="s">
        <v>267</v>
      </c>
      <c r="B109" s="3" t="s">
        <v>273</v>
      </c>
      <c r="C109" s="3" t="s">
        <v>21</v>
      </c>
      <c r="D109" s="3" t="s">
        <v>8</v>
      </c>
      <c r="E109" s="3" t="s">
        <v>18</v>
      </c>
      <c r="F109" s="3" t="s">
        <v>285</v>
      </c>
      <c r="G109" s="9">
        <v>45231</v>
      </c>
      <c r="H109" s="6">
        <v>2023</v>
      </c>
      <c r="I109" s="6" t="s">
        <v>269</v>
      </c>
      <c r="J109" s="7">
        <v>190000</v>
      </c>
      <c r="K109" s="2">
        <v>1</v>
      </c>
      <c r="L109" s="7">
        <v>108423.87666666668</v>
      </c>
      <c r="M109" s="3" t="str">
        <f>VLOOKUP(F109,[2]Inventario!$A:$F,6,0)</f>
        <v>G4N0VM143106031A</v>
      </c>
      <c r="N109" s="3" t="s">
        <v>542</v>
      </c>
    </row>
    <row r="110" spans="1:14" x14ac:dyDescent="0.25">
      <c r="A110" s="3" t="s">
        <v>268</v>
      </c>
      <c r="B110" s="3" t="s">
        <v>274</v>
      </c>
      <c r="C110" s="3" t="s">
        <v>21</v>
      </c>
      <c r="D110" s="3" t="s">
        <v>9</v>
      </c>
      <c r="E110" s="3" t="s">
        <v>19</v>
      </c>
      <c r="F110" s="3" t="s">
        <v>286</v>
      </c>
      <c r="G110" s="9">
        <v>45231</v>
      </c>
      <c r="H110" s="6">
        <v>2023</v>
      </c>
      <c r="I110" s="6" t="s">
        <v>269</v>
      </c>
      <c r="J110" s="7">
        <v>150000</v>
      </c>
      <c r="K110" s="2">
        <v>1</v>
      </c>
      <c r="L110" s="7">
        <v>88065.627066666668</v>
      </c>
      <c r="M110" s="3" t="str">
        <f>VLOOKUP(F110,[2]Inventario!$A:$F,6,0)</f>
        <v>G071EL1731130CLU</v>
      </c>
      <c r="N110" s="3" t="s">
        <v>542</v>
      </c>
    </row>
    <row r="111" spans="1:14" x14ac:dyDescent="0.25">
      <c r="A111" s="3" t="s">
        <v>246</v>
      </c>
      <c r="B111" s="3" t="s">
        <v>261</v>
      </c>
      <c r="C111" s="3" t="s">
        <v>21</v>
      </c>
      <c r="D111" s="3" t="s">
        <v>50</v>
      </c>
      <c r="E111" s="3" t="s">
        <v>51</v>
      </c>
      <c r="F111" s="3" t="s">
        <v>263</v>
      </c>
      <c r="G111" s="9">
        <v>45200</v>
      </c>
      <c r="H111" s="6">
        <v>2023</v>
      </c>
      <c r="I111" s="6" t="s">
        <v>260</v>
      </c>
      <c r="J111" s="7">
        <v>210000</v>
      </c>
      <c r="K111" s="2">
        <v>1</v>
      </c>
      <c r="L111" s="7">
        <v>126377.06039999999</v>
      </c>
      <c r="M111" s="3" t="str">
        <f>VLOOKUP(F111,[2]Inventario!$A:$F,6,0)</f>
        <v>G071R209252401MW</v>
      </c>
      <c r="N111" s="3" t="s">
        <v>542</v>
      </c>
    </row>
    <row r="112" spans="1:14" x14ac:dyDescent="0.25">
      <c r="A112" s="3" t="s">
        <v>247</v>
      </c>
      <c r="B112" s="3" t="s">
        <v>28</v>
      </c>
      <c r="C112" s="3" t="s">
        <v>21</v>
      </c>
      <c r="D112" s="3" t="s">
        <v>9</v>
      </c>
      <c r="E112" s="3" t="s">
        <v>19</v>
      </c>
      <c r="F112" s="3" t="s">
        <v>264</v>
      </c>
      <c r="G112" s="9">
        <v>45200</v>
      </c>
      <c r="H112" s="6">
        <v>2023</v>
      </c>
      <c r="I112" s="6" t="s">
        <v>260</v>
      </c>
      <c r="J112" s="7">
        <v>160000</v>
      </c>
      <c r="K112" s="2">
        <v>1</v>
      </c>
      <c r="L112" s="7">
        <v>88065.627066666668</v>
      </c>
      <c r="M112" s="3" t="str">
        <f>VLOOKUP(F112,[2]Inventario!$A:$F,6,0)</f>
        <v>G071EL1731130CLL</v>
      </c>
      <c r="N112" s="3" t="s">
        <v>542</v>
      </c>
    </row>
    <row r="113" spans="1:14" x14ac:dyDescent="0.25">
      <c r="A113" s="3" t="s">
        <v>256</v>
      </c>
      <c r="B113" s="3" t="s">
        <v>262</v>
      </c>
      <c r="C113" s="3" t="s">
        <v>21</v>
      </c>
      <c r="D113" s="3" t="s">
        <v>8</v>
      </c>
      <c r="E113" s="3" t="s">
        <v>18</v>
      </c>
      <c r="F113" s="3" t="s">
        <v>265</v>
      </c>
      <c r="G113" s="9">
        <v>45200</v>
      </c>
      <c r="H113" s="6">
        <v>2023</v>
      </c>
      <c r="I113" s="6" t="s">
        <v>260</v>
      </c>
      <c r="J113" s="7">
        <v>190000</v>
      </c>
      <c r="K113" s="2">
        <v>1</v>
      </c>
      <c r="L113" s="7">
        <v>117905.14039999999</v>
      </c>
      <c r="M113" s="3" t="str">
        <f>VLOOKUP(F113,[2]Inventario!$A:$F,6,0)</f>
        <v>G070VM2631840LJC</v>
      </c>
      <c r="N113" s="3" t="s">
        <v>542</v>
      </c>
    </row>
    <row r="114" spans="1:14" x14ac:dyDescent="0.25">
      <c r="A114" s="3" t="s">
        <v>235</v>
      </c>
      <c r="B114" s="3" t="s">
        <v>251</v>
      </c>
      <c r="C114" s="3" t="s">
        <v>21</v>
      </c>
      <c r="D114" s="3" t="s">
        <v>8</v>
      </c>
      <c r="E114" s="3" t="s">
        <v>18</v>
      </c>
      <c r="F114" s="3" t="s">
        <v>252</v>
      </c>
      <c r="G114" s="9">
        <v>45170</v>
      </c>
      <c r="H114" s="6">
        <v>2023</v>
      </c>
      <c r="I114" s="6" t="s">
        <v>115</v>
      </c>
      <c r="J114" s="7">
        <v>190000</v>
      </c>
      <c r="K114" s="2">
        <v>1</v>
      </c>
      <c r="L114" s="7">
        <v>113481.38706666666</v>
      </c>
      <c r="M114" s="3" t="str">
        <f>VLOOKUP(F114,[2]Inventario!$A:$F,6,0)</f>
        <v>G4N0VM143155032D</v>
      </c>
      <c r="N114" s="3" t="s">
        <v>542</v>
      </c>
    </row>
    <row r="115" spans="1:14" x14ac:dyDescent="0.25">
      <c r="A115" s="3" t="s">
        <v>238</v>
      </c>
      <c r="B115" s="3" t="s">
        <v>78</v>
      </c>
      <c r="C115" s="3" t="s">
        <v>21</v>
      </c>
      <c r="D115" s="3" t="s">
        <v>8</v>
      </c>
      <c r="E115" s="3" t="s">
        <v>18</v>
      </c>
      <c r="F115" s="3" t="s">
        <v>253</v>
      </c>
      <c r="G115" s="9">
        <v>45170</v>
      </c>
      <c r="H115" s="6">
        <v>2023</v>
      </c>
      <c r="I115" s="6" t="s">
        <v>115</v>
      </c>
      <c r="J115" s="7">
        <v>190000</v>
      </c>
      <c r="K115" s="2">
        <v>1</v>
      </c>
      <c r="L115" s="7">
        <v>97384.720399999991</v>
      </c>
      <c r="M115" s="3" t="str">
        <f>VLOOKUP(F115,[2]Inventario!$A:$F,6,0)</f>
        <v>G4N0VM143155003G</v>
      </c>
      <c r="N115" s="3" t="s">
        <v>542</v>
      </c>
    </row>
    <row r="116" spans="1:14" x14ac:dyDescent="0.25">
      <c r="A116" s="3" t="s">
        <v>239</v>
      </c>
      <c r="B116" s="3" t="s">
        <v>28</v>
      </c>
      <c r="C116" s="3" t="s">
        <v>21</v>
      </c>
      <c r="D116" s="3" t="s">
        <v>8</v>
      </c>
      <c r="E116" s="3" t="s">
        <v>18</v>
      </c>
      <c r="F116" s="3" t="s">
        <v>254</v>
      </c>
      <c r="G116" s="9">
        <v>45170</v>
      </c>
      <c r="H116" s="6">
        <v>2023</v>
      </c>
      <c r="I116" s="6" t="s">
        <v>115</v>
      </c>
      <c r="J116" s="7">
        <v>190000</v>
      </c>
      <c r="K116" s="2">
        <v>1</v>
      </c>
      <c r="L116" s="7">
        <v>97384.720399999991</v>
      </c>
      <c r="M116" s="3" t="str">
        <f>VLOOKUP(F116,[2]Inventario!$A:$F,6,0)</f>
        <v>G070VM2631670QKQ</v>
      </c>
      <c r="N116" s="3" t="s">
        <v>542</v>
      </c>
    </row>
    <row r="117" spans="1:14" x14ac:dyDescent="0.25">
      <c r="A117" s="3" t="s">
        <v>245</v>
      </c>
      <c r="B117" s="3" t="s">
        <v>32</v>
      </c>
      <c r="C117" s="3" t="s">
        <v>21</v>
      </c>
      <c r="D117" s="3" t="s">
        <v>8</v>
      </c>
      <c r="E117" s="3" t="s">
        <v>18</v>
      </c>
      <c r="F117" s="3" t="s">
        <v>255</v>
      </c>
      <c r="G117" s="9">
        <v>45170</v>
      </c>
      <c r="H117" s="6">
        <v>2023</v>
      </c>
      <c r="I117" s="6" t="s">
        <v>115</v>
      </c>
      <c r="J117" s="7">
        <v>190000</v>
      </c>
      <c r="K117" s="2">
        <v>1</v>
      </c>
      <c r="L117" s="7">
        <v>117905.14039999999</v>
      </c>
      <c r="M117" s="3" t="str">
        <f>VLOOKUP(F117,[2]Inventario!$A:$F,6,0)</f>
        <v>G070VM2631840J1U</v>
      </c>
      <c r="N117" s="3" t="s">
        <v>542</v>
      </c>
    </row>
    <row r="118" spans="1:14" x14ac:dyDescent="0.25">
      <c r="A118" s="3" t="s">
        <v>234</v>
      </c>
      <c r="B118" s="3" t="s">
        <v>250</v>
      </c>
      <c r="C118" s="3" t="s">
        <v>21</v>
      </c>
      <c r="D118" s="3" t="s">
        <v>50</v>
      </c>
      <c r="E118" s="3" t="s">
        <v>51</v>
      </c>
      <c r="F118" s="3" t="s">
        <v>244</v>
      </c>
      <c r="G118" s="9">
        <v>45139</v>
      </c>
      <c r="H118" s="6">
        <v>2023</v>
      </c>
      <c r="I118" s="6" t="s">
        <v>109</v>
      </c>
      <c r="J118" s="7">
        <v>210000</v>
      </c>
      <c r="K118" s="2">
        <v>1</v>
      </c>
      <c r="L118" s="7">
        <v>126377.06039999999</v>
      </c>
      <c r="M118" s="3" t="e">
        <f>VLOOKUP(F118,[2]Inventario!$A:$F,6,0)</f>
        <v>#N/A</v>
      </c>
      <c r="N118" s="3" t="s">
        <v>542</v>
      </c>
    </row>
    <row r="119" spans="1:14" x14ac:dyDescent="0.25">
      <c r="A119" s="3" t="s">
        <v>232</v>
      </c>
      <c r="B119" s="3" t="s">
        <v>248</v>
      </c>
      <c r="C119" s="3" t="s">
        <v>21</v>
      </c>
      <c r="D119" s="3" t="s">
        <v>8</v>
      </c>
      <c r="E119" s="3" t="s">
        <v>18</v>
      </c>
      <c r="F119" s="3" t="s">
        <v>242</v>
      </c>
      <c r="G119" s="9">
        <v>45139</v>
      </c>
      <c r="H119" s="6">
        <v>2023</v>
      </c>
      <c r="I119" s="6" t="s">
        <v>109</v>
      </c>
      <c r="J119" s="7">
        <v>170000</v>
      </c>
      <c r="K119" s="2">
        <v>1</v>
      </c>
      <c r="L119" s="7">
        <v>170000</v>
      </c>
      <c r="M119" s="3" t="e">
        <f>VLOOKUP(F119,[2]Inventario!$A:$F,6,0)</f>
        <v>#N/A</v>
      </c>
      <c r="N119" s="3" t="s">
        <v>542</v>
      </c>
    </row>
    <row r="120" spans="1:14" x14ac:dyDescent="0.25">
      <c r="A120" s="3" t="s">
        <v>233</v>
      </c>
      <c r="B120" s="3" t="s">
        <v>249</v>
      </c>
      <c r="C120" s="3" t="s">
        <v>21</v>
      </c>
      <c r="D120" s="3" t="s">
        <v>10</v>
      </c>
      <c r="E120" s="3" t="s">
        <v>20</v>
      </c>
      <c r="F120" s="3" t="s">
        <v>243</v>
      </c>
      <c r="G120" s="9">
        <v>45139</v>
      </c>
      <c r="H120" s="6">
        <v>2023</v>
      </c>
      <c r="I120" s="6" t="s">
        <v>109</v>
      </c>
      <c r="J120" s="7">
        <v>150000</v>
      </c>
      <c r="K120" s="2">
        <v>1</v>
      </c>
      <c r="L120" s="7">
        <v>144000</v>
      </c>
      <c r="M120" s="3" t="e">
        <f>VLOOKUP(F120,[2]Inventario!$A:$F,6,0)</f>
        <v>#N/A</v>
      </c>
      <c r="N120" s="3" t="s">
        <v>542</v>
      </c>
    </row>
    <row r="121" spans="1:14" x14ac:dyDescent="0.25">
      <c r="A121" s="3" t="s">
        <v>217</v>
      </c>
      <c r="B121" s="3" t="s">
        <v>236</v>
      </c>
      <c r="C121" s="3" t="s">
        <v>21</v>
      </c>
      <c r="D121" s="3" t="s">
        <v>10</v>
      </c>
      <c r="E121" s="3" t="s">
        <v>20</v>
      </c>
      <c r="F121" s="3" t="s">
        <v>240</v>
      </c>
      <c r="G121" s="9">
        <v>45108</v>
      </c>
      <c r="H121" s="6">
        <v>2023</v>
      </c>
      <c r="I121" s="6" t="s">
        <v>93</v>
      </c>
      <c r="J121" s="7">
        <v>160000</v>
      </c>
      <c r="K121" s="2">
        <v>1</v>
      </c>
      <c r="L121" s="7">
        <v>124000</v>
      </c>
      <c r="M121" s="3" t="e">
        <f>VLOOKUP(F121,[2]Inventario!$A:$F,6,0)</f>
        <v>#N/A</v>
      </c>
      <c r="N121" s="3" t="s">
        <v>542</v>
      </c>
    </row>
    <row r="122" spans="1:14" x14ac:dyDescent="0.25">
      <c r="A122" s="3" t="s">
        <v>231</v>
      </c>
      <c r="B122" s="3" t="s">
        <v>237</v>
      </c>
      <c r="C122" s="3" t="s">
        <v>21</v>
      </c>
      <c r="D122" s="3" t="s">
        <v>8</v>
      </c>
      <c r="E122" s="3" t="s">
        <v>18</v>
      </c>
      <c r="F122" s="3" t="s">
        <v>241</v>
      </c>
      <c r="G122" s="9">
        <v>45108</v>
      </c>
      <c r="H122" s="6">
        <v>2023</v>
      </c>
      <c r="I122" s="6" t="s">
        <v>93</v>
      </c>
      <c r="J122" s="7">
        <v>190000</v>
      </c>
      <c r="K122" s="2">
        <v>1</v>
      </c>
      <c r="L122" s="7">
        <v>179000</v>
      </c>
      <c r="M122" s="3" t="e">
        <f>VLOOKUP(F122,[2]Inventario!$A:$F,6,0)</f>
        <v>#N/A</v>
      </c>
      <c r="N122" s="3" t="s">
        <v>542</v>
      </c>
    </row>
    <row r="123" spans="1:14" x14ac:dyDescent="0.25">
      <c r="A123" s="3" t="s">
        <v>204</v>
      </c>
      <c r="B123" s="3" t="s">
        <v>221</v>
      </c>
      <c r="C123" s="3" t="s">
        <v>21</v>
      </c>
      <c r="D123" s="3" t="s">
        <v>8</v>
      </c>
      <c r="E123" s="3" t="s">
        <v>18</v>
      </c>
      <c r="F123" s="3" t="s">
        <v>226</v>
      </c>
      <c r="G123" s="9">
        <v>45078</v>
      </c>
      <c r="H123" s="6">
        <v>2023</v>
      </c>
      <c r="I123" s="6" t="s">
        <v>76</v>
      </c>
      <c r="J123" s="7">
        <v>190000</v>
      </c>
      <c r="K123" s="2">
        <v>1</v>
      </c>
      <c r="L123" s="7">
        <v>179000</v>
      </c>
      <c r="M123" s="3" t="e">
        <f>VLOOKUP(F123,[2]Inventario!$A:$F,6,0)</f>
        <v>#N/A</v>
      </c>
      <c r="N123" s="3" t="s">
        <v>542</v>
      </c>
    </row>
    <row r="124" spans="1:14" x14ac:dyDescent="0.25">
      <c r="A124" s="3" t="s">
        <v>205</v>
      </c>
      <c r="B124" s="3" t="s">
        <v>222</v>
      </c>
      <c r="C124" s="3" t="s">
        <v>21</v>
      </c>
      <c r="D124" s="3" t="s">
        <v>8</v>
      </c>
      <c r="E124" s="3" t="s">
        <v>18</v>
      </c>
      <c r="F124" s="3" t="s">
        <v>227</v>
      </c>
      <c r="G124" s="9">
        <v>45078</v>
      </c>
      <c r="H124" s="6">
        <v>2023</v>
      </c>
      <c r="I124" s="6" t="s">
        <v>76</v>
      </c>
      <c r="J124" s="7">
        <v>190000</v>
      </c>
      <c r="K124" s="2">
        <v>1</v>
      </c>
      <c r="L124" s="7">
        <v>179000</v>
      </c>
      <c r="M124" s="3" t="e">
        <f>VLOOKUP(F124,[2]Inventario!$A:$F,6,0)</f>
        <v>#N/A</v>
      </c>
      <c r="N124" s="3" t="s">
        <v>542</v>
      </c>
    </row>
    <row r="125" spans="1:14" x14ac:dyDescent="0.25">
      <c r="A125" s="3" t="s">
        <v>212</v>
      </c>
      <c r="B125" s="3" t="s">
        <v>223</v>
      </c>
      <c r="C125" s="3" t="s">
        <v>21</v>
      </c>
      <c r="D125" s="3" t="s">
        <v>8</v>
      </c>
      <c r="E125" s="3" t="s">
        <v>18</v>
      </c>
      <c r="F125" s="3" t="s">
        <v>228</v>
      </c>
      <c r="G125" s="9">
        <v>45078</v>
      </c>
      <c r="H125" s="6">
        <v>2023</v>
      </c>
      <c r="I125" s="6" t="s">
        <v>76</v>
      </c>
      <c r="J125" s="7">
        <v>190000</v>
      </c>
      <c r="K125" s="2">
        <v>1</v>
      </c>
      <c r="L125" s="7">
        <v>160000</v>
      </c>
      <c r="M125" s="3" t="e">
        <f>VLOOKUP(F125,[2]Inventario!$A:$F,6,0)</f>
        <v>#N/A</v>
      </c>
      <c r="N125" s="3" t="s">
        <v>542</v>
      </c>
    </row>
    <row r="126" spans="1:14" x14ac:dyDescent="0.25">
      <c r="A126" s="3" t="s">
        <v>214</v>
      </c>
      <c r="B126" s="3" t="s">
        <v>224</v>
      </c>
      <c r="C126" s="3" t="s">
        <v>21</v>
      </c>
      <c r="D126" s="3" t="s">
        <v>8</v>
      </c>
      <c r="E126" s="3" t="s">
        <v>18</v>
      </c>
      <c r="F126" s="3" t="s">
        <v>229</v>
      </c>
      <c r="G126" s="9">
        <v>45078</v>
      </c>
      <c r="H126" s="6">
        <v>2023</v>
      </c>
      <c r="I126" s="6" t="s">
        <v>76</v>
      </c>
      <c r="J126" s="7">
        <v>190000</v>
      </c>
      <c r="K126" s="2">
        <v>1</v>
      </c>
      <c r="L126" s="7">
        <v>160000</v>
      </c>
      <c r="M126" s="3" t="e">
        <f>VLOOKUP(F126,[2]Inventario!$A:$F,6,0)</f>
        <v>#N/A</v>
      </c>
      <c r="N126" s="3" t="s">
        <v>542</v>
      </c>
    </row>
    <row r="127" spans="1:14" x14ac:dyDescent="0.25">
      <c r="A127" s="3" t="s">
        <v>216</v>
      </c>
      <c r="B127" s="3" t="s">
        <v>225</v>
      </c>
      <c r="C127" s="3" t="s">
        <v>21</v>
      </c>
      <c r="D127" s="3" t="s">
        <v>8</v>
      </c>
      <c r="E127" s="3" t="s">
        <v>18</v>
      </c>
      <c r="F127" s="3" t="s">
        <v>230</v>
      </c>
      <c r="G127" s="9">
        <v>45078</v>
      </c>
      <c r="H127" s="6">
        <v>2023</v>
      </c>
      <c r="I127" s="6" t="s">
        <v>76</v>
      </c>
      <c r="J127" s="7">
        <v>190000</v>
      </c>
      <c r="K127" s="2">
        <v>1</v>
      </c>
      <c r="L127" s="7">
        <v>160000</v>
      </c>
      <c r="M127" s="3" t="e">
        <f>VLOOKUP(F127,[2]Inventario!$A:$F,6,0)</f>
        <v>#N/A</v>
      </c>
      <c r="N127" s="3" t="s">
        <v>542</v>
      </c>
    </row>
    <row r="128" spans="1:14" x14ac:dyDescent="0.25">
      <c r="A128" s="3" t="s">
        <v>202</v>
      </c>
      <c r="B128" s="3" t="s">
        <v>218</v>
      </c>
      <c r="C128" s="3" t="s">
        <v>21</v>
      </c>
      <c r="D128" s="3" t="s">
        <v>8</v>
      </c>
      <c r="E128" s="3" t="s">
        <v>18</v>
      </c>
      <c r="F128" s="3" t="s">
        <v>219</v>
      </c>
      <c r="G128" s="9">
        <v>45047</v>
      </c>
      <c r="H128" s="6">
        <v>2023</v>
      </c>
      <c r="I128" s="6" t="s">
        <v>61</v>
      </c>
      <c r="J128" s="7">
        <v>190000</v>
      </c>
      <c r="K128" s="2">
        <v>1</v>
      </c>
      <c r="L128" s="7">
        <v>160000</v>
      </c>
      <c r="M128" s="3" t="e">
        <f>VLOOKUP(F128,[2]Inventario!$A:$F,6,0)</f>
        <v>#N/A</v>
      </c>
      <c r="N128" s="3" t="s">
        <v>542</v>
      </c>
    </row>
    <row r="129" spans="1:14" x14ac:dyDescent="0.25">
      <c r="A129" s="3" t="s">
        <v>203</v>
      </c>
      <c r="B129" s="3" t="s">
        <v>63</v>
      </c>
      <c r="C129" s="3" t="s">
        <v>21</v>
      </c>
      <c r="D129" s="3" t="s">
        <v>10</v>
      </c>
      <c r="E129" s="3" t="s">
        <v>20</v>
      </c>
      <c r="F129" s="3" t="s">
        <v>220</v>
      </c>
      <c r="G129" s="9">
        <v>45047</v>
      </c>
      <c r="H129" s="6">
        <v>2023</v>
      </c>
      <c r="I129" s="6" t="s">
        <v>61</v>
      </c>
      <c r="J129" s="7">
        <v>150000</v>
      </c>
      <c r="K129" s="2">
        <v>1</v>
      </c>
      <c r="L129" s="7">
        <v>124000</v>
      </c>
      <c r="M129" s="3" t="e">
        <f>VLOOKUP(F129,[2]Inventario!$A:$F,6,0)</f>
        <v>#N/A</v>
      </c>
      <c r="N129" s="3" t="s">
        <v>542</v>
      </c>
    </row>
    <row r="130" spans="1:14" x14ac:dyDescent="0.25">
      <c r="A130" s="3" t="s">
        <v>201</v>
      </c>
      <c r="B130" s="3" t="s">
        <v>215</v>
      </c>
      <c r="C130" s="3" t="s">
        <v>21</v>
      </c>
      <c r="D130" s="3" t="s">
        <v>8</v>
      </c>
      <c r="E130" s="3" t="s">
        <v>18</v>
      </c>
      <c r="F130" s="3" t="s">
        <v>213</v>
      </c>
      <c r="G130" s="9">
        <v>45017</v>
      </c>
      <c r="H130" s="6">
        <v>2023</v>
      </c>
      <c r="I130" s="6" t="s">
        <v>60</v>
      </c>
      <c r="J130" s="7">
        <v>190000</v>
      </c>
      <c r="K130" s="2">
        <v>1</v>
      </c>
      <c r="L130" s="7">
        <v>107409.60504065041</v>
      </c>
      <c r="M130" s="3" t="e">
        <f>VLOOKUP(F130,[2]Inventario!$A:$F,6,0)</f>
        <v>#N/A</v>
      </c>
      <c r="N130" s="3" t="s">
        <v>542</v>
      </c>
    </row>
    <row r="131" spans="1:14" x14ac:dyDescent="0.25">
      <c r="A131" s="3" t="s">
        <v>200</v>
      </c>
      <c r="B131" s="3" t="s">
        <v>210</v>
      </c>
      <c r="C131" s="3" t="s">
        <v>21</v>
      </c>
      <c r="D131" s="3" t="s">
        <v>8</v>
      </c>
      <c r="E131" s="3" t="s">
        <v>18</v>
      </c>
      <c r="F131" s="3" t="s">
        <v>211</v>
      </c>
      <c r="G131" s="9">
        <v>44986</v>
      </c>
      <c r="H131" s="6">
        <v>2023</v>
      </c>
      <c r="I131" s="6" t="s">
        <v>44</v>
      </c>
      <c r="J131" s="7">
        <v>190000</v>
      </c>
      <c r="K131" s="2">
        <v>1</v>
      </c>
      <c r="L131" s="7">
        <v>183000</v>
      </c>
      <c r="M131" s="3" t="e">
        <f>VLOOKUP(F131,[2]Inventario!$A:$F,6,0)</f>
        <v>#N/A</v>
      </c>
      <c r="N131" s="3" t="s">
        <v>542</v>
      </c>
    </row>
    <row r="132" spans="1:14" x14ac:dyDescent="0.25">
      <c r="A132" s="3" t="s">
        <v>199</v>
      </c>
      <c r="B132" s="3" t="s">
        <v>193</v>
      </c>
      <c r="C132" s="3" t="s">
        <v>21</v>
      </c>
      <c r="D132" s="3" t="s">
        <v>10</v>
      </c>
      <c r="E132" s="3" t="s">
        <v>20</v>
      </c>
      <c r="F132" s="3" t="s">
        <v>209</v>
      </c>
      <c r="G132" s="9">
        <v>44958</v>
      </c>
      <c r="H132" s="6">
        <v>2023</v>
      </c>
      <c r="I132" s="6" t="s">
        <v>40</v>
      </c>
      <c r="J132" s="7">
        <v>150000</v>
      </c>
      <c r="K132" s="2">
        <v>1</v>
      </c>
      <c r="L132" s="7">
        <v>107409.60504065041</v>
      </c>
      <c r="M132" s="3" t="e">
        <f>VLOOKUP(F132,[2]Inventario!$A:$F,6,0)</f>
        <v>#N/A</v>
      </c>
      <c r="N132" s="3" t="s">
        <v>542</v>
      </c>
    </row>
    <row r="133" spans="1:14" x14ac:dyDescent="0.25">
      <c r="A133" s="3" t="s">
        <v>435</v>
      </c>
      <c r="B133" s="3" t="s">
        <v>436</v>
      </c>
      <c r="C133" s="3" t="s">
        <v>433</v>
      </c>
      <c r="D133" s="3" t="s">
        <v>10</v>
      </c>
      <c r="E133" s="3" t="s">
        <v>20</v>
      </c>
      <c r="F133" s="3" t="s">
        <v>437</v>
      </c>
      <c r="G133" s="9">
        <v>44958</v>
      </c>
      <c r="H133" s="6">
        <v>2023</v>
      </c>
      <c r="I133" s="6" t="s">
        <v>40</v>
      </c>
      <c r="J133" s="7">
        <v>0</v>
      </c>
      <c r="K133" s="2">
        <v>1</v>
      </c>
      <c r="L133" s="7">
        <v>79240.889288888895</v>
      </c>
      <c r="M133" s="3" t="e">
        <f>VLOOKUP(F133,[2]Inventario!$A:$F,6,0)</f>
        <v>#N/A</v>
      </c>
      <c r="N133" s="3" t="s">
        <v>542</v>
      </c>
    </row>
    <row r="134" spans="1:14" x14ac:dyDescent="0.25">
      <c r="A134" s="3" t="s">
        <v>196</v>
      </c>
      <c r="B134" s="3" t="s">
        <v>191</v>
      </c>
      <c r="C134" s="3" t="s">
        <v>21</v>
      </c>
      <c r="D134" s="3" t="s">
        <v>8</v>
      </c>
      <c r="E134" s="3" t="s">
        <v>18</v>
      </c>
      <c r="F134" s="3" t="s">
        <v>206</v>
      </c>
      <c r="G134" s="9">
        <v>44958</v>
      </c>
      <c r="H134" s="6">
        <v>2023</v>
      </c>
      <c r="I134" s="6" t="s">
        <v>40</v>
      </c>
      <c r="J134" s="7">
        <v>190000</v>
      </c>
      <c r="K134" s="2">
        <v>1</v>
      </c>
      <c r="L134" s="7">
        <v>170000</v>
      </c>
      <c r="M134" s="3" t="e">
        <f>VLOOKUP(F134,[2]Inventario!$A:$F,6,0)</f>
        <v>#N/A</v>
      </c>
      <c r="N134" s="3" t="s">
        <v>542</v>
      </c>
    </row>
    <row r="135" spans="1:14" x14ac:dyDescent="0.25">
      <c r="A135" s="3" t="s">
        <v>197</v>
      </c>
      <c r="B135" s="3" t="s">
        <v>191</v>
      </c>
      <c r="C135" s="3" t="s">
        <v>21</v>
      </c>
      <c r="D135" s="3" t="s">
        <v>10</v>
      </c>
      <c r="E135" s="3" t="s">
        <v>20</v>
      </c>
      <c r="F135" s="3" t="s">
        <v>207</v>
      </c>
      <c r="G135" s="9">
        <v>44958</v>
      </c>
      <c r="H135" s="6">
        <v>2023</v>
      </c>
      <c r="I135" s="6" t="s">
        <v>40</v>
      </c>
      <c r="J135" s="7">
        <v>150000</v>
      </c>
      <c r="K135" s="2">
        <v>1</v>
      </c>
      <c r="L135" s="7">
        <v>125000</v>
      </c>
      <c r="M135" s="3" t="e">
        <f>VLOOKUP(F135,[2]Inventario!$A:$F,6,0)</f>
        <v>#N/A</v>
      </c>
      <c r="N135" s="3" t="s">
        <v>542</v>
      </c>
    </row>
    <row r="136" spans="1:14" x14ac:dyDescent="0.25">
      <c r="A136" s="3" t="s">
        <v>198</v>
      </c>
      <c r="B136" s="3" t="s">
        <v>192</v>
      </c>
      <c r="C136" s="3" t="s">
        <v>21</v>
      </c>
      <c r="D136" s="3" t="s">
        <v>8</v>
      </c>
      <c r="E136" s="3" t="s">
        <v>18</v>
      </c>
      <c r="F136" s="3" t="s">
        <v>208</v>
      </c>
      <c r="G136" s="9">
        <v>44958</v>
      </c>
      <c r="H136" s="6">
        <v>2023</v>
      </c>
      <c r="I136" s="6" t="s">
        <v>40</v>
      </c>
      <c r="J136" s="7">
        <v>180000</v>
      </c>
      <c r="K136" s="2">
        <v>1</v>
      </c>
      <c r="L136" s="7">
        <v>170000</v>
      </c>
      <c r="M136" s="3" t="e">
        <f>VLOOKUP(F136,[2]Inventario!$A:$F,6,0)</f>
        <v>#N/A</v>
      </c>
      <c r="N136" s="3" t="s">
        <v>542</v>
      </c>
    </row>
    <row r="137" spans="1:14" x14ac:dyDescent="0.25">
      <c r="A137" s="3" t="s">
        <v>431</v>
      </c>
      <c r="B137" s="3" t="s">
        <v>432</v>
      </c>
      <c r="C137" s="3" t="s">
        <v>433</v>
      </c>
      <c r="D137" s="3" t="s">
        <v>8</v>
      </c>
      <c r="E137" s="3" t="s">
        <v>18</v>
      </c>
      <c r="F137" s="3" t="s">
        <v>434</v>
      </c>
      <c r="G137" s="9">
        <v>44927</v>
      </c>
      <c r="H137" s="6">
        <v>2023</v>
      </c>
      <c r="I137" s="6" t="s">
        <v>25</v>
      </c>
      <c r="J137" s="7">
        <v>0</v>
      </c>
      <c r="K137" s="2">
        <v>1</v>
      </c>
      <c r="L137" s="7">
        <v>146196.66666666666</v>
      </c>
      <c r="M137" s="3" t="e">
        <f>VLOOKUP(F137,[2]Inventario!$A:$F,6,0)</f>
        <v>#N/A</v>
      </c>
      <c r="N137" s="3" t="s">
        <v>542</v>
      </c>
    </row>
    <row r="138" spans="1:14" x14ac:dyDescent="0.25">
      <c r="A138" s="3" t="s">
        <v>171</v>
      </c>
      <c r="B138" s="3" t="s">
        <v>180</v>
      </c>
      <c r="C138" s="3" t="s">
        <v>21</v>
      </c>
      <c r="D138" s="3" t="s">
        <v>10</v>
      </c>
      <c r="E138" s="3" t="s">
        <v>20</v>
      </c>
      <c r="F138" s="3" t="s">
        <v>183</v>
      </c>
      <c r="G138" s="9">
        <v>44927</v>
      </c>
      <c r="H138" s="6">
        <v>2023</v>
      </c>
      <c r="I138" s="6" t="s">
        <v>25</v>
      </c>
      <c r="J138" s="7">
        <v>150000</v>
      </c>
      <c r="K138" s="2">
        <v>1</v>
      </c>
      <c r="L138" s="7">
        <v>107020</v>
      </c>
      <c r="M138" s="3" t="e">
        <f>VLOOKUP(F138,[2]Inventario!$A:$F,6,0)</f>
        <v>#N/A</v>
      </c>
      <c r="N138" s="3" t="s">
        <v>542</v>
      </c>
    </row>
    <row r="139" spans="1:14" x14ac:dyDescent="0.25">
      <c r="A139" s="3" t="s">
        <v>172</v>
      </c>
      <c r="B139" s="3" t="s">
        <v>63</v>
      </c>
      <c r="C139" s="3" t="s">
        <v>21</v>
      </c>
      <c r="D139" s="3" t="s">
        <v>9</v>
      </c>
      <c r="E139" s="3" t="s">
        <v>19</v>
      </c>
      <c r="F139" s="3" t="s">
        <v>184</v>
      </c>
      <c r="G139" s="9">
        <v>44927</v>
      </c>
      <c r="H139" s="6">
        <v>2023</v>
      </c>
      <c r="I139" s="6" t="s">
        <v>25</v>
      </c>
      <c r="J139" s="7">
        <v>170000</v>
      </c>
      <c r="K139" s="2">
        <v>1</v>
      </c>
      <c r="L139" s="7">
        <v>132254.06439024388</v>
      </c>
      <c r="M139" s="3" t="e">
        <f>VLOOKUP(F139,[2]Inventario!$A:$F,6,0)</f>
        <v>#N/A</v>
      </c>
      <c r="N139" s="3" t="s">
        <v>542</v>
      </c>
    </row>
    <row r="140" spans="1:14" x14ac:dyDescent="0.25">
      <c r="A140" s="3" t="s">
        <v>173</v>
      </c>
      <c r="B140" s="3" t="s">
        <v>63</v>
      </c>
      <c r="C140" s="3" t="s">
        <v>21</v>
      </c>
      <c r="D140" s="3" t="s">
        <v>9</v>
      </c>
      <c r="E140" s="3" t="s">
        <v>19</v>
      </c>
      <c r="F140" s="3" t="s">
        <v>185</v>
      </c>
      <c r="G140" s="9">
        <v>44927</v>
      </c>
      <c r="H140" s="6">
        <v>2023</v>
      </c>
      <c r="I140" s="6" t="s">
        <v>25</v>
      </c>
      <c r="J140" s="7">
        <v>170000</v>
      </c>
      <c r="K140" s="2">
        <v>1</v>
      </c>
      <c r="L140" s="7">
        <v>132254.06439024388</v>
      </c>
      <c r="M140" s="3" t="e">
        <f>VLOOKUP(F140,[2]Inventario!$A:$F,6,0)</f>
        <v>#N/A</v>
      </c>
      <c r="N140" s="3" t="s">
        <v>542</v>
      </c>
    </row>
    <row r="141" spans="1:14" x14ac:dyDescent="0.25">
      <c r="A141" s="3" t="s">
        <v>174</v>
      </c>
      <c r="B141" s="3" t="s">
        <v>63</v>
      </c>
      <c r="C141" s="3" t="s">
        <v>21</v>
      </c>
      <c r="D141" s="3" t="s">
        <v>9</v>
      </c>
      <c r="E141" s="3" t="s">
        <v>19</v>
      </c>
      <c r="F141" s="3" t="s">
        <v>186</v>
      </c>
      <c r="G141" s="9">
        <v>44927</v>
      </c>
      <c r="H141" s="6">
        <v>2023</v>
      </c>
      <c r="I141" s="6" t="s">
        <v>25</v>
      </c>
      <c r="J141" s="7">
        <v>170000</v>
      </c>
      <c r="K141" s="2">
        <v>1</v>
      </c>
      <c r="L141" s="7">
        <v>132254.06439024388</v>
      </c>
      <c r="M141" s="3" t="e">
        <f>VLOOKUP(F141,[2]Inventario!$A:$F,6,0)</f>
        <v>#N/A</v>
      </c>
      <c r="N141" s="3" t="s">
        <v>542</v>
      </c>
    </row>
    <row r="142" spans="1:14" x14ac:dyDescent="0.25">
      <c r="A142" s="3" t="s">
        <v>175</v>
      </c>
      <c r="B142" s="3" t="s">
        <v>181</v>
      </c>
      <c r="C142" s="3" t="s">
        <v>21</v>
      </c>
      <c r="D142" s="3" t="s">
        <v>8</v>
      </c>
      <c r="E142" s="3" t="s">
        <v>18</v>
      </c>
      <c r="F142" s="3" t="s">
        <v>187</v>
      </c>
      <c r="G142" s="9">
        <v>44927</v>
      </c>
      <c r="H142" s="6">
        <v>2023</v>
      </c>
      <c r="I142" s="6" t="s">
        <v>25</v>
      </c>
      <c r="J142" s="7">
        <v>190000</v>
      </c>
      <c r="K142" s="2">
        <v>1</v>
      </c>
      <c r="L142" s="7">
        <v>170000</v>
      </c>
      <c r="M142" s="3" t="e">
        <f>VLOOKUP(F142,[2]Inventario!$A:$F,6,0)</f>
        <v>#N/A</v>
      </c>
      <c r="N142" s="3" t="s">
        <v>542</v>
      </c>
    </row>
    <row r="143" spans="1:14" x14ac:dyDescent="0.25">
      <c r="A143" s="3" t="s">
        <v>176</v>
      </c>
      <c r="B143" s="3" t="s">
        <v>182</v>
      </c>
      <c r="C143" s="3" t="s">
        <v>21</v>
      </c>
      <c r="D143" s="3" t="s">
        <v>8</v>
      </c>
      <c r="E143" s="3" t="s">
        <v>18</v>
      </c>
      <c r="F143" s="3" t="s">
        <v>188</v>
      </c>
      <c r="G143" s="9">
        <v>44927</v>
      </c>
      <c r="H143" s="6">
        <v>2023</v>
      </c>
      <c r="I143" s="6" t="s">
        <v>25</v>
      </c>
      <c r="J143" s="7">
        <v>190000</v>
      </c>
      <c r="K143" s="2">
        <v>1</v>
      </c>
      <c r="L143" s="7">
        <v>161412.51</v>
      </c>
      <c r="M143" s="3" t="e">
        <f>VLOOKUP(F143,[2]Inventario!$A:$F,6,0)</f>
        <v>#N/A</v>
      </c>
      <c r="N143" s="3" t="s">
        <v>542</v>
      </c>
    </row>
    <row r="144" spans="1:14" x14ac:dyDescent="0.25">
      <c r="A144" s="3" t="s">
        <v>177</v>
      </c>
      <c r="B144" s="3" t="s">
        <v>49</v>
      </c>
      <c r="C144" s="3" t="s">
        <v>21</v>
      </c>
      <c r="D144" s="3" t="s">
        <v>8</v>
      </c>
      <c r="E144" s="3" t="s">
        <v>18</v>
      </c>
      <c r="F144" s="3" t="s">
        <v>189</v>
      </c>
      <c r="G144" s="9">
        <v>44927</v>
      </c>
      <c r="H144" s="6">
        <v>2023</v>
      </c>
      <c r="I144" s="6" t="s">
        <v>25</v>
      </c>
      <c r="J144" s="7">
        <v>190000</v>
      </c>
      <c r="K144" s="2">
        <v>1</v>
      </c>
      <c r="L144" s="7">
        <v>165098.52373983699</v>
      </c>
      <c r="M144" s="3" t="e">
        <f>VLOOKUP(F144,[2]Inventario!$A:$F,6,0)</f>
        <v>#N/A</v>
      </c>
      <c r="N144" s="3" t="s">
        <v>542</v>
      </c>
    </row>
    <row r="145" spans="1:14" x14ac:dyDescent="0.25">
      <c r="A145" s="3" t="s">
        <v>194</v>
      </c>
      <c r="B145" s="3" t="s">
        <v>71</v>
      </c>
      <c r="C145" s="3" t="s">
        <v>21</v>
      </c>
      <c r="D145" s="3" t="s">
        <v>8</v>
      </c>
      <c r="E145" s="3" t="s">
        <v>18</v>
      </c>
      <c r="F145" s="3" t="s">
        <v>190</v>
      </c>
      <c r="G145" s="9">
        <v>44927</v>
      </c>
      <c r="H145" s="6">
        <v>2023</v>
      </c>
      <c r="I145" s="6" t="s">
        <v>25</v>
      </c>
      <c r="J145" s="7">
        <v>190000</v>
      </c>
      <c r="K145" s="2">
        <v>1</v>
      </c>
      <c r="L145" s="7">
        <v>157098.52373983737</v>
      </c>
      <c r="M145" s="3" t="e">
        <f>VLOOKUP(F145,[2]Inventario!$A:$F,6,0)</f>
        <v>#N/A</v>
      </c>
      <c r="N145" s="3" t="s">
        <v>542</v>
      </c>
    </row>
    <row r="146" spans="1:14" x14ac:dyDescent="0.25">
      <c r="A146" s="3" t="s">
        <v>195</v>
      </c>
      <c r="B146" s="3" t="s">
        <v>71</v>
      </c>
      <c r="C146" s="3" t="s">
        <v>21</v>
      </c>
      <c r="D146" s="3" t="s">
        <v>8</v>
      </c>
      <c r="E146" s="3" t="s">
        <v>18</v>
      </c>
      <c r="F146" s="3" t="s">
        <v>75</v>
      </c>
      <c r="G146" s="9">
        <v>44927</v>
      </c>
      <c r="H146" s="6">
        <v>2023</v>
      </c>
      <c r="I146" s="6" t="s">
        <v>25</v>
      </c>
      <c r="J146" s="7">
        <v>190000</v>
      </c>
      <c r="K146" s="2">
        <v>1</v>
      </c>
      <c r="L146" s="7">
        <v>170000</v>
      </c>
      <c r="M146" s="3" t="str">
        <f>VLOOKUP(F146,[2]Inventario!$A:$F,6,0)</f>
        <v>G4N1EL1635220A39</v>
      </c>
      <c r="N146" s="3" t="s">
        <v>542</v>
      </c>
    </row>
    <row r="147" spans="1:14" x14ac:dyDescent="0.25">
      <c r="A147" s="3" t="s">
        <v>169</v>
      </c>
      <c r="B147" s="3" t="s">
        <v>440</v>
      </c>
      <c r="C147" s="3" t="s">
        <v>21</v>
      </c>
      <c r="D147" s="3" t="s">
        <v>8</v>
      </c>
      <c r="E147" s="3" t="s">
        <v>18</v>
      </c>
      <c r="F147" s="3" t="s">
        <v>438</v>
      </c>
      <c r="G147" s="9">
        <v>44896</v>
      </c>
      <c r="H147" s="6">
        <v>2022</v>
      </c>
      <c r="I147" s="6" t="s">
        <v>287</v>
      </c>
      <c r="J147" s="7">
        <v>190000</v>
      </c>
      <c r="K147" s="2">
        <v>1</v>
      </c>
      <c r="L147" s="7">
        <v>161412.51</v>
      </c>
      <c r="M147" s="3" t="e">
        <f>VLOOKUP(F147,[2]Inventario!$A:$F,6,0)</f>
        <v>#N/A</v>
      </c>
      <c r="N147" s="3" t="s">
        <v>542</v>
      </c>
    </row>
    <row r="148" spans="1:14" x14ac:dyDescent="0.25">
      <c r="A148" s="3" t="s">
        <v>170</v>
      </c>
      <c r="B148" s="3" t="s">
        <v>441</v>
      </c>
      <c r="C148" s="3" t="s">
        <v>21</v>
      </c>
      <c r="D148" s="3" t="s">
        <v>8</v>
      </c>
      <c r="E148" s="3" t="s">
        <v>18</v>
      </c>
      <c r="F148" s="3" t="s">
        <v>439</v>
      </c>
      <c r="G148" s="9">
        <v>44896</v>
      </c>
      <c r="H148" s="6">
        <v>2022</v>
      </c>
      <c r="I148" s="6" t="s">
        <v>287</v>
      </c>
      <c r="J148" s="7">
        <v>190000</v>
      </c>
      <c r="K148" s="2">
        <v>1</v>
      </c>
      <c r="L148" s="7">
        <v>161412.51</v>
      </c>
      <c r="M148" s="3" t="e">
        <f>VLOOKUP(F148,[2]Inventario!$A:$F,6,0)</f>
        <v>#N/A</v>
      </c>
      <c r="N148" s="3" t="s">
        <v>542</v>
      </c>
    </row>
    <row r="149" spans="1:14" x14ac:dyDescent="0.25">
      <c r="A149" s="3" t="s">
        <v>160</v>
      </c>
      <c r="B149" s="3" t="s">
        <v>363</v>
      </c>
      <c r="C149" s="3" t="s">
        <v>21</v>
      </c>
      <c r="D149" s="3" t="s">
        <v>9</v>
      </c>
      <c r="E149" s="3" t="s">
        <v>19</v>
      </c>
      <c r="F149" s="3" t="s">
        <v>415</v>
      </c>
      <c r="G149" s="9">
        <v>44866</v>
      </c>
      <c r="H149" s="6">
        <v>2022</v>
      </c>
      <c r="I149" s="6" t="s">
        <v>269</v>
      </c>
      <c r="J149" s="7">
        <v>170000</v>
      </c>
      <c r="K149" s="2">
        <v>1</v>
      </c>
      <c r="L149" s="7">
        <v>121009</v>
      </c>
      <c r="M149" s="3" t="e">
        <f>VLOOKUP(F149,[2]Inventario!$A:$F,6,0)</f>
        <v>#N/A</v>
      </c>
      <c r="N149" s="3" t="s">
        <v>542</v>
      </c>
    </row>
    <row r="150" spans="1:14" x14ac:dyDescent="0.25">
      <c r="A150" s="3" t="s">
        <v>161</v>
      </c>
      <c r="B150" s="3" t="s">
        <v>424</v>
      </c>
      <c r="C150" s="3" t="s">
        <v>21</v>
      </c>
      <c r="D150" s="3" t="s">
        <v>8</v>
      </c>
      <c r="E150" s="3" t="s">
        <v>18</v>
      </c>
      <c r="F150" s="3" t="s">
        <v>416</v>
      </c>
      <c r="G150" s="9">
        <v>44866</v>
      </c>
      <c r="H150" s="6">
        <v>2022</v>
      </c>
      <c r="I150" s="6" t="s">
        <v>269</v>
      </c>
      <c r="J150" s="7">
        <v>190000</v>
      </c>
      <c r="K150" s="2">
        <v>1</v>
      </c>
      <c r="L150" s="7">
        <v>164942</v>
      </c>
      <c r="M150" s="3" t="e">
        <f>VLOOKUP(F150,[2]Inventario!$A:$F,6,0)</f>
        <v>#N/A</v>
      </c>
      <c r="N150" s="3" t="s">
        <v>542</v>
      </c>
    </row>
    <row r="151" spans="1:14" x14ac:dyDescent="0.25">
      <c r="A151" s="3" t="s">
        <v>162</v>
      </c>
      <c r="B151" s="3" t="s">
        <v>425</v>
      </c>
      <c r="C151" s="3" t="s">
        <v>21</v>
      </c>
      <c r="D151" s="3" t="s">
        <v>9</v>
      </c>
      <c r="E151" s="3" t="s">
        <v>19</v>
      </c>
      <c r="F151" s="3" t="s">
        <v>417</v>
      </c>
      <c r="G151" s="9">
        <v>44866</v>
      </c>
      <c r="H151" s="6">
        <v>2022</v>
      </c>
      <c r="I151" s="6" t="s">
        <v>269</v>
      </c>
      <c r="J151" s="7">
        <v>170000</v>
      </c>
      <c r="K151" s="2">
        <v>1</v>
      </c>
      <c r="L151" s="7">
        <v>121009</v>
      </c>
      <c r="M151" s="3" t="e">
        <f>VLOOKUP(F151,[2]Inventario!$A:$F,6,0)</f>
        <v>#N/A</v>
      </c>
      <c r="N151" s="3" t="s">
        <v>542</v>
      </c>
    </row>
    <row r="152" spans="1:14" x14ac:dyDescent="0.25">
      <c r="A152" s="3" t="s">
        <v>163</v>
      </c>
      <c r="B152" s="3" t="s">
        <v>426</v>
      </c>
      <c r="C152" s="3" t="s">
        <v>21</v>
      </c>
      <c r="D152" s="3" t="s">
        <v>8</v>
      </c>
      <c r="E152" s="3" t="s">
        <v>18</v>
      </c>
      <c r="F152" s="3" t="s">
        <v>418</v>
      </c>
      <c r="G152" s="9">
        <v>44866</v>
      </c>
      <c r="H152" s="6">
        <v>2022</v>
      </c>
      <c r="I152" s="6" t="s">
        <v>269</v>
      </c>
      <c r="J152" s="7">
        <v>190000</v>
      </c>
      <c r="K152" s="2">
        <v>1</v>
      </c>
      <c r="L152" s="7">
        <v>146196.66666666666</v>
      </c>
      <c r="M152" s="3" t="e">
        <f>VLOOKUP(F152,[2]Inventario!$A:$F,6,0)</f>
        <v>#N/A</v>
      </c>
      <c r="N152" s="3" t="s">
        <v>542</v>
      </c>
    </row>
    <row r="153" spans="1:14" x14ac:dyDescent="0.25">
      <c r="A153" s="3" t="s">
        <v>164</v>
      </c>
      <c r="B153" s="3" t="s">
        <v>427</v>
      </c>
      <c r="C153" s="3" t="s">
        <v>21</v>
      </c>
      <c r="D153" s="3" t="s">
        <v>8</v>
      </c>
      <c r="E153" s="3" t="s">
        <v>18</v>
      </c>
      <c r="F153" s="3" t="s">
        <v>419</v>
      </c>
      <c r="G153" s="9">
        <v>44866</v>
      </c>
      <c r="H153" s="6">
        <v>2022</v>
      </c>
      <c r="I153" s="6" t="s">
        <v>269</v>
      </c>
      <c r="J153" s="7">
        <v>190000</v>
      </c>
      <c r="K153" s="2">
        <v>1</v>
      </c>
      <c r="L153" s="7">
        <v>169192</v>
      </c>
      <c r="M153" s="3" t="e">
        <f>VLOOKUP(F153,[2]Inventario!$A:$F,6,0)</f>
        <v>#N/A</v>
      </c>
      <c r="N153" s="3" t="s">
        <v>542</v>
      </c>
    </row>
    <row r="154" spans="1:14" x14ac:dyDescent="0.25">
      <c r="A154" s="3" t="s">
        <v>165</v>
      </c>
      <c r="B154" s="3" t="s">
        <v>428</v>
      </c>
      <c r="C154" s="3" t="s">
        <v>21</v>
      </c>
      <c r="D154" s="3" t="s">
        <v>8</v>
      </c>
      <c r="E154" s="3" t="s">
        <v>18</v>
      </c>
      <c r="F154" s="3" t="s">
        <v>420</v>
      </c>
      <c r="G154" s="9">
        <v>44866</v>
      </c>
      <c r="H154" s="6">
        <v>2022</v>
      </c>
      <c r="I154" s="6" t="s">
        <v>269</v>
      </c>
      <c r="J154" s="7">
        <v>190000</v>
      </c>
      <c r="K154" s="2">
        <v>1</v>
      </c>
      <c r="L154" s="7">
        <v>150446.66666666701</v>
      </c>
      <c r="M154" s="3" t="e">
        <f>VLOOKUP(F154,[2]Inventario!$A:$F,6,0)</f>
        <v>#N/A</v>
      </c>
      <c r="N154" s="3" t="s">
        <v>542</v>
      </c>
    </row>
    <row r="155" spans="1:14" x14ac:dyDescent="0.25">
      <c r="A155" s="3" t="s">
        <v>166</v>
      </c>
      <c r="B155" s="3" t="s">
        <v>429</v>
      </c>
      <c r="C155" s="3" t="s">
        <v>21</v>
      </c>
      <c r="D155" s="3" t="s">
        <v>10</v>
      </c>
      <c r="E155" s="3" t="s">
        <v>20</v>
      </c>
      <c r="F155" s="3" t="s">
        <v>421</v>
      </c>
      <c r="G155" s="9">
        <v>44866</v>
      </c>
      <c r="H155" s="6">
        <v>2022</v>
      </c>
      <c r="I155" s="6" t="s">
        <v>269</v>
      </c>
      <c r="J155" s="7">
        <v>150000</v>
      </c>
      <c r="K155" s="2">
        <v>1</v>
      </c>
      <c r="L155" s="7">
        <v>125000</v>
      </c>
      <c r="M155" s="3" t="e">
        <f>VLOOKUP(F155,[2]Inventario!$A:$F,6,0)</f>
        <v>#N/A</v>
      </c>
      <c r="N155" s="3" t="s">
        <v>542</v>
      </c>
    </row>
    <row r="156" spans="1:14" x14ac:dyDescent="0.25">
      <c r="A156" s="3" t="s">
        <v>167</v>
      </c>
      <c r="B156" s="3" t="s">
        <v>430</v>
      </c>
      <c r="C156" s="3" t="s">
        <v>21</v>
      </c>
      <c r="D156" s="3" t="s">
        <v>8</v>
      </c>
      <c r="E156" s="3" t="s">
        <v>18</v>
      </c>
      <c r="F156" s="3" t="s">
        <v>422</v>
      </c>
      <c r="G156" s="9">
        <v>44866</v>
      </c>
      <c r="H156" s="6">
        <v>2022</v>
      </c>
      <c r="I156" s="6" t="s">
        <v>269</v>
      </c>
      <c r="J156" s="7">
        <v>190000</v>
      </c>
      <c r="K156" s="2">
        <v>1</v>
      </c>
      <c r="L156" s="7">
        <v>146196.66666666666</v>
      </c>
      <c r="M156" s="3" t="e">
        <f>VLOOKUP(F156,[2]Inventario!$A:$F,6,0)</f>
        <v>#N/A</v>
      </c>
      <c r="N156" s="3" t="s">
        <v>542</v>
      </c>
    </row>
    <row r="157" spans="1:14" x14ac:dyDescent="0.25">
      <c r="A157" s="3" t="s">
        <v>168</v>
      </c>
      <c r="B157" s="3" t="s">
        <v>397</v>
      </c>
      <c r="C157" s="3" t="s">
        <v>21</v>
      </c>
      <c r="D157" s="3" t="s">
        <v>9</v>
      </c>
      <c r="E157" s="3" t="s">
        <v>19</v>
      </c>
      <c r="F157" s="3" t="s">
        <v>423</v>
      </c>
      <c r="G157" s="9">
        <v>44866</v>
      </c>
      <c r="H157" s="6">
        <v>2022</v>
      </c>
      <c r="I157" s="6" t="s">
        <v>269</v>
      </c>
      <c r="J157" s="7">
        <v>170000</v>
      </c>
      <c r="K157" s="2">
        <v>1</v>
      </c>
      <c r="L157" s="7">
        <v>121009</v>
      </c>
      <c r="M157" s="3" t="e">
        <f>VLOOKUP(F157,[2]Inventario!$A:$F,6,0)</f>
        <v>#N/A</v>
      </c>
      <c r="N157" s="3" t="s">
        <v>542</v>
      </c>
    </row>
    <row r="158" spans="1:14" x14ac:dyDescent="0.25">
      <c r="A158" s="3" t="s">
        <v>155</v>
      </c>
      <c r="B158" s="3" t="s">
        <v>406</v>
      </c>
      <c r="C158" s="3" t="s">
        <v>21</v>
      </c>
      <c r="D158" s="3" t="s">
        <v>8</v>
      </c>
      <c r="E158" s="3" t="s">
        <v>18</v>
      </c>
      <c r="F158" s="3" t="s">
        <v>402</v>
      </c>
      <c r="G158" s="9">
        <v>44835</v>
      </c>
      <c r="H158" s="6">
        <v>2022</v>
      </c>
      <c r="I158" s="6" t="s">
        <v>260</v>
      </c>
      <c r="J158" s="7">
        <v>190000</v>
      </c>
      <c r="K158" s="2">
        <v>1</v>
      </c>
      <c r="L158" s="7">
        <v>165434</v>
      </c>
      <c r="M158" s="3" t="e">
        <f>VLOOKUP(F158,[2]Inventario!$A:$F,6,0)</f>
        <v>#N/A</v>
      </c>
      <c r="N158" s="3" t="s">
        <v>542</v>
      </c>
    </row>
    <row r="159" spans="1:14" x14ac:dyDescent="0.25">
      <c r="A159" s="3" t="s">
        <v>156</v>
      </c>
      <c r="B159" s="3" t="s">
        <v>406</v>
      </c>
      <c r="C159" s="3" t="s">
        <v>21</v>
      </c>
      <c r="D159" s="3" t="s">
        <v>8</v>
      </c>
      <c r="E159" s="3" t="s">
        <v>18</v>
      </c>
      <c r="F159" s="3" t="s">
        <v>403</v>
      </c>
      <c r="G159" s="9">
        <v>44835</v>
      </c>
      <c r="H159" s="6">
        <v>2022</v>
      </c>
      <c r="I159" s="6" t="s">
        <v>260</v>
      </c>
      <c r="J159" s="7">
        <v>190000</v>
      </c>
      <c r="K159" s="2">
        <v>1</v>
      </c>
      <c r="L159" s="7">
        <v>165434</v>
      </c>
      <c r="M159" s="3" t="e">
        <f>VLOOKUP(F159,[2]Inventario!$A:$F,6,0)</f>
        <v>#N/A</v>
      </c>
      <c r="N159" s="3" t="s">
        <v>542</v>
      </c>
    </row>
    <row r="160" spans="1:14" x14ac:dyDescent="0.25">
      <c r="A160" s="3" t="s">
        <v>157</v>
      </c>
      <c r="B160" s="3" t="s">
        <v>48</v>
      </c>
      <c r="C160" s="3" t="s">
        <v>21</v>
      </c>
      <c r="D160" s="3" t="s">
        <v>8</v>
      </c>
      <c r="E160" s="3" t="s">
        <v>18</v>
      </c>
      <c r="F160" s="3" t="s">
        <v>404</v>
      </c>
      <c r="G160" s="9">
        <v>44835</v>
      </c>
      <c r="H160" s="6">
        <v>2022</v>
      </c>
      <c r="I160" s="6" t="s">
        <v>260</v>
      </c>
      <c r="J160" s="7">
        <v>200000</v>
      </c>
      <c r="K160" s="2">
        <v>1</v>
      </c>
      <c r="L160" s="7">
        <v>190000</v>
      </c>
      <c r="M160" s="3" t="e">
        <f>VLOOKUP(F160,[2]Inventario!$A:$F,6,0)</f>
        <v>#N/A</v>
      </c>
      <c r="N160" s="3" t="s">
        <v>542</v>
      </c>
    </row>
    <row r="161" spans="1:14" x14ac:dyDescent="0.25">
      <c r="A161" s="3" t="s">
        <v>158</v>
      </c>
      <c r="B161" s="3" t="s">
        <v>273</v>
      </c>
      <c r="C161" s="3" t="s">
        <v>21</v>
      </c>
      <c r="D161" s="3" t="s">
        <v>8</v>
      </c>
      <c r="E161" s="3" t="s">
        <v>18</v>
      </c>
      <c r="F161" s="3" t="s">
        <v>285</v>
      </c>
      <c r="G161" s="9">
        <v>44835</v>
      </c>
      <c r="H161" s="6">
        <v>2022</v>
      </c>
      <c r="I161" s="6" t="s">
        <v>260</v>
      </c>
      <c r="J161" s="7">
        <v>190000</v>
      </c>
      <c r="K161" s="2">
        <v>1</v>
      </c>
      <c r="L161" s="7">
        <v>165434</v>
      </c>
      <c r="M161" s="3" t="str">
        <f>VLOOKUP(F161,[2]Inventario!$A:$F,6,0)</f>
        <v>G4N0VM143106031A</v>
      </c>
      <c r="N161" s="3" t="s">
        <v>542</v>
      </c>
    </row>
    <row r="162" spans="1:14" x14ac:dyDescent="0.25">
      <c r="A162" s="3" t="s">
        <v>159</v>
      </c>
      <c r="B162" s="3" t="s">
        <v>396</v>
      </c>
      <c r="C162" s="3" t="s">
        <v>21</v>
      </c>
      <c r="D162" s="3" t="s">
        <v>8</v>
      </c>
      <c r="E162" s="3" t="s">
        <v>18</v>
      </c>
      <c r="F162" s="3" t="s">
        <v>405</v>
      </c>
      <c r="G162" s="9">
        <v>44835</v>
      </c>
      <c r="H162" s="6">
        <v>2022</v>
      </c>
      <c r="I162" s="6" t="s">
        <v>260</v>
      </c>
      <c r="J162" s="7">
        <v>190000</v>
      </c>
      <c r="K162" s="2">
        <v>1</v>
      </c>
      <c r="L162" s="7">
        <v>145000</v>
      </c>
      <c r="M162" s="3" t="e">
        <f>VLOOKUP(F162,[2]Inventario!$A:$F,6,0)</f>
        <v>#N/A</v>
      </c>
      <c r="N162" s="3" t="s">
        <v>542</v>
      </c>
    </row>
    <row r="163" spans="1:14" x14ac:dyDescent="0.25">
      <c r="A163" s="3" t="s">
        <v>151</v>
      </c>
      <c r="B163" s="3" t="s">
        <v>394</v>
      </c>
      <c r="C163" s="3" t="s">
        <v>21</v>
      </c>
      <c r="D163" s="3" t="s">
        <v>9</v>
      </c>
      <c r="E163" s="3" t="s">
        <v>19</v>
      </c>
      <c r="F163" s="3" t="s">
        <v>398</v>
      </c>
      <c r="G163" s="9">
        <v>44805</v>
      </c>
      <c r="H163" s="6">
        <v>2022</v>
      </c>
      <c r="I163" s="6" t="s">
        <v>115</v>
      </c>
      <c r="J163" s="7">
        <v>160000</v>
      </c>
      <c r="K163" s="2">
        <v>1</v>
      </c>
      <c r="L163" s="7">
        <v>150000</v>
      </c>
      <c r="M163" s="3" t="e">
        <f>VLOOKUP(F163,[2]Inventario!$A:$F,6,0)</f>
        <v>#N/A</v>
      </c>
      <c r="N163" s="3" t="s">
        <v>542</v>
      </c>
    </row>
    <row r="164" spans="1:14" x14ac:dyDescent="0.25">
      <c r="A164" s="3" t="s">
        <v>152</v>
      </c>
      <c r="B164" s="3" t="s">
        <v>395</v>
      </c>
      <c r="C164" s="3" t="s">
        <v>21</v>
      </c>
      <c r="D164" s="3" t="s">
        <v>8</v>
      </c>
      <c r="E164" s="3" t="s">
        <v>18</v>
      </c>
      <c r="F164" s="3" t="s">
        <v>399</v>
      </c>
      <c r="G164" s="9">
        <v>44805</v>
      </c>
      <c r="H164" s="6">
        <v>2022</v>
      </c>
      <c r="I164" s="6" t="s">
        <v>115</v>
      </c>
      <c r="J164" s="7">
        <v>190000</v>
      </c>
      <c r="K164" s="2">
        <v>1</v>
      </c>
      <c r="L164" s="7">
        <v>165434</v>
      </c>
      <c r="M164" s="3" t="e">
        <f>VLOOKUP(F164,[2]Inventario!$A:$F,6,0)</f>
        <v>#N/A</v>
      </c>
      <c r="N164" s="3" t="s">
        <v>542</v>
      </c>
    </row>
    <row r="165" spans="1:14" x14ac:dyDescent="0.25">
      <c r="A165" s="3" t="s">
        <v>153</v>
      </c>
      <c r="B165" s="3">
        <v>180</v>
      </c>
      <c r="C165" s="3" t="s">
        <v>21</v>
      </c>
      <c r="D165" s="3" t="s">
        <v>8</v>
      </c>
      <c r="E165" s="3" t="s">
        <v>18</v>
      </c>
      <c r="F165" s="3" t="s">
        <v>400</v>
      </c>
      <c r="G165" s="9">
        <v>44805</v>
      </c>
      <c r="H165" s="6">
        <v>2022</v>
      </c>
      <c r="I165" s="6" t="s">
        <v>115</v>
      </c>
      <c r="J165" s="7">
        <v>190000</v>
      </c>
      <c r="K165" s="2">
        <v>1</v>
      </c>
      <c r="L165" s="7">
        <v>190000</v>
      </c>
      <c r="M165" s="3" t="e">
        <f>VLOOKUP(F165,[2]Inventario!$A:$F,6,0)</f>
        <v>#N/A</v>
      </c>
      <c r="N165" s="3" t="s">
        <v>542</v>
      </c>
    </row>
    <row r="166" spans="1:14" x14ac:dyDescent="0.25">
      <c r="A166" s="3" t="s">
        <v>154</v>
      </c>
      <c r="B166" s="3" t="s">
        <v>397</v>
      </c>
      <c r="C166" s="3" t="s">
        <v>21</v>
      </c>
      <c r="D166" s="3" t="s">
        <v>8</v>
      </c>
      <c r="E166" s="3" t="s">
        <v>18</v>
      </c>
      <c r="F166" s="3" t="s">
        <v>401</v>
      </c>
      <c r="G166" s="9">
        <v>44805</v>
      </c>
      <c r="H166" s="6">
        <v>2022</v>
      </c>
      <c r="I166" s="6" t="s">
        <v>115</v>
      </c>
      <c r="J166" s="7">
        <v>190000</v>
      </c>
      <c r="K166" s="2">
        <v>1</v>
      </c>
      <c r="L166" s="7">
        <v>190000</v>
      </c>
      <c r="M166" s="3" t="e">
        <f>VLOOKUP(F166,[2]Inventario!$A:$F,6,0)</f>
        <v>#N/A</v>
      </c>
      <c r="N166" s="3" t="s">
        <v>542</v>
      </c>
    </row>
    <row r="167" spans="1:14" x14ac:dyDescent="0.25">
      <c r="A167" s="3" t="s">
        <v>149</v>
      </c>
      <c r="B167" s="3" t="s">
        <v>250</v>
      </c>
      <c r="C167" s="3" t="s">
        <v>21</v>
      </c>
      <c r="D167" s="3" t="s">
        <v>8</v>
      </c>
      <c r="E167" s="3" t="s">
        <v>18</v>
      </c>
      <c r="F167" s="3" t="s">
        <v>244</v>
      </c>
      <c r="G167" s="9">
        <v>44774</v>
      </c>
      <c r="H167" s="6">
        <v>2022</v>
      </c>
      <c r="I167" s="6" t="s">
        <v>109</v>
      </c>
      <c r="J167" s="7">
        <v>190000</v>
      </c>
      <c r="K167" s="2">
        <v>1</v>
      </c>
      <c r="L167" s="7">
        <v>145000</v>
      </c>
      <c r="M167" s="3" t="e">
        <f>VLOOKUP(F167,[2]Inventario!$A:$F,6,0)</f>
        <v>#N/A</v>
      </c>
      <c r="N167" s="3" t="s">
        <v>542</v>
      </c>
    </row>
    <row r="168" spans="1:14" x14ac:dyDescent="0.25">
      <c r="A168" s="3" t="s">
        <v>150</v>
      </c>
      <c r="B168" s="3" t="s">
        <v>237</v>
      </c>
      <c r="C168" s="3" t="s">
        <v>21</v>
      </c>
      <c r="D168" s="3" t="s">
        <v>8</v>
      </c>
      <c r="E168" s="3" t="s">
        <v>18</v>
      </c>
      <c r="F168" s="3" t="s">
        <v>385</v>
      </c>
      <c r="G168" s="9">
        <v>44774</v>
      </c>
      <c r="H168" s="6">
        <v>2022</v>
      </c>
      <c r="I168" s="6" t="s">
        <v>109</v>
      </c>
      <c r="J168" s="7">
        <v>190000</v>
      </c>
      <c r="K168" s="2">
        <v>1</v>
      </c>
      <c r="L168" s="7">
        <v>180500</v>
      </c>
      <c r="M168" s="3" t="e">
        <f>VLOOKUP(F168,[2]Inventario!$A:$F,6,0)</f>
        <v>#N/A</v>
      </c>
      <c r="N168" s="3" t="s">
        <v>542</v>
      </c>
    </row>
    <row r="169" spans="1:14" x14ac:dyDescent="0.25">
      <c r="A169" s="3" t="s">
        <v>145</v>
      </c>
      <c r="B169" s="3" t="s">
        <v>375</v>
      </c>
      <c r="C169" s="3" t="s">
        <v>21</v>
      </c>
      <c r="D169" s="3" t="s">
        <v>10</v>
      </c>
      <c r="E169" s="3" t="s">
        <v>20</v>
      </c>
      <c r="F169" s="3" t="s">
        <v>371</v>
      </c>
      <c r="G169" s="9">
        <v>44743</v>
      </c>
      <c r="H169" s="6">
        <v>2022</v>
      </c>
      <c r="I169" s="6" t="s">
        <v>93</v>
      </c>
      <c r="J169" s="7">
        <v>150000</v>
      </c>
      <c r="K169" s="2">
        <v>1</v>
      </c>
      <c r="L169" s="7">
        <v>150000</v>
      </c>
      <c r="M169" s="3" t="e">
        <f>VLOOKUP(F169,[2]Inventario!$A:$F,6,0)</f>
        <v>#N/A</v>
      </c>
      <c r="N169" s="3" t="s">
        <v>542</v>
      </c>
    </row>
    <row r="170" spans="1:14" x14ac:dyDescent="0.25">
      <c r="A170" s="3" t="s">
        <v>146</v>
      </c>
      <c r="B170" s="3" t="s">
        <v>250</v>
      </c>
      <c r="C170" s="3" t="s">
        <v>21</v>
      </c>
      <c r="D170" s="3" t="s">
        <v>8</v>
      </c>
      <c r="E170" s="3" t="s">
        <v>18</v>
      </c>
      <c r="F170" s="3" t="s">
        <v>372</v>
      </c>
      <c r="G170" s="9">
        <v>44743</v>
      </c>
      <c r="H170" s="6">
        <v>2022</v>
      </c>
      <c r="I170" s="6" t="s">
        <v>93</v>
      </c>
      <c r="J170" s="7">
        <v>190000</v>
      </c>
      <c r="K170" s="2">
        <v>1</v>
      </c>
      <c r="L170" s="7">
        <v>180500</v>
      </c>
      <c r="M170" s="3" t="e">
        <f>VLOOKUP(F170,[2]Inventario!$A:$F,6,0)</f>
        <v>#N/A</v>
      </c>
      <c r="N170" s="3" t="s">
        <v>542</v>
      </c>
    </row>
    <row r="171" spans="1:14" x14ac:dyDescent="0.25">
      <c r="A171" s="3" t="s">
        <v>147</v>
      </c>
      <c r="B171" s="3" t="s">
        <v>376</v>
      </c>
      <c r="C171" s="3" t="s">
        <v>21</v>
      </c>
      <c r="D171" s="3" t="s">
        <v>10</v>
      </c>
      <c r="E171" s="3" t="s">
        <v>20</v>
      </c>
      <c r="F171" s="3" t="s">
        <v>373</v>
      </c>
      <c r="G171" s="9">
        <v>44743</v>
      </c>
      <c r="H171" s="6">
        <v>2022</v>
      </c>
      <c r="I171" s="6" t="s">
        <v>93</v>
      </c>
      <c r="J171" s="7">
        <v>170000</v>
      </c>
      <c r="K171" s="2">
        <v>1</v>
      </c>
      <c r="L171" s="7">
        <v>120000</v>
      </c>
      <c r="M171" s="3" t="e">
        <f>VLOOKUP(F171,[2]Inventario!$A:$F,6,0)</f>
        <v>#N/A</v>
      </c>
      <c r="N171" s="3" t="s">
        <v>542</v>
      </c>
    </row>
    <row r="172" spans="1:14" x14ac:dyDescent="0.25">
      <c r="A172" s="3" t="s">
        <v>148</v>
      </c>
      <c r="B172" s="3" t="s">
        <v>215</v>
      </c>
      <c r="C172" s="3" t="s">
        <v>21</v>
      </c>
      <c r="D172" s="3" t="s">
        <v>8</v>
      </c>
      <c r="E172" s="3" t="s">
        <v>18</v>
      </c>
      <c r="F172" s="3" t="s">
        <v>374</v>
      </c>
      <c r="G172" s="9">
        <v>44743</v>
      </c>
      <c r="H172" s="6">
        <v>2022</v>
      </c>
      <c r="I172" s="6" t="s">
        <v>93</v>
      </c>
      <c r="J172" s="7">
        <v>190000</v>
      </c>
      <c r="K172" s="2">
        <v>1</v>
      </c>
      <c r="L172" s="7">
        <v>180500</v>
      </c>
      <c r="M172" s="3" t="e">
        <f>VLOOKUP(F172,[2]Inventario!$A:$F,6,0)</f>
        <v>#N/A</v>
      </c>
      <c r="N172" s="3" t="s">
        <v>542</v>
      </c>
    </row>
    <row r="173" spans="1:14" x14ac:dyDescent="0.25">
      <c r="A173" s="3" t="s">
        <v>140</v>
      </c>
      <c r="B173" s="3" t="s">
        <v>363</v>
      </c>
      <c r="C173" s="3" t="s">
        <v>21</v>
      </c>
      <c r="D173" s="3" t="s">
        <v>10</v>
      </c>
      <c r="E173" s="3" t="s">
        <v>20</v>
      </c>
      <c r="F173" s="3" t="s">
        <v>358</v>
      </c>
      <c r="G173" s="9">
        <v>44713</v>
      </c>
      <c r="H173" s="6">
        <v>2022</v>
      </c>
      <c r="I173" s="6" t="s">
        <v>76</v>
      </c>
      <c r="J173" s="7">
        <v>150000</v>
      </c>
      <c r="K173" s="2">
        <v>1</v>
      </c>
      <c r="L173" s="7">
        <v>135000</v>
      </c>
      <c r="M173" s="3" t="e">
        <f>VLOOKUP(F173,[2]Inventario!$A:$F,6,0)</f>
        <v>#N/A</v>
      </c>
      <c r="N173" s="3" t="s">
        <v>542</v>
      </c>
    </row>
    <row r="174" spans="1:14" x14ac:dyDescent="0.25">
      <c r="A174" s="3" t="s">
        <v>141</v>
      </c>
      <c r="B174" s="3" t="s">
        <v>364</v>
      </c>
      <c r="C174" s="3" t="s">
        <v>21</v>
      </c>
      <c r="D174" s="3" t="s">
        <v>10</v>
      </c>
      <c r="E174" s="3" t="s">
        <v>20</v>
      </c>
      <c r="F174" s="3" t="s">
        <v>359</v>
      </c>
      <c r="G174" s="9">
        <v>44713</v>
      </c>
      <c r="H174" s="6">
        <v>2022</v>
      </c>
      <c r="I174" s="6" t="s">
        <v>76</v>
      </c>
      <c r="J174" s="7">
        <v>150000</v>
      </c>
      <c r="K174" s="2">
        <v>1</v>
      </c>
      <c r="L174" s="7">
        <v>135000</v>
      </c>
      <c r="M174" s="3" t="e">
        <f>VLOOKUP(F174,[2]Inventario!$A:$F,6,0)</f>
        <v>#N/A</v>
      </c>
      <c r="N174" s="3" t="s">
        <v>542</v>
      </c>
    </row>
    <row r="175" spans="1:14" x14ac:dyDescent="0.25">
      <c r="A175" s="3" t="s">
        <v>142</v>
      </c>
      <c r="B175" s="3" t="s">
        <v>364</v>
      </c>
      <c r="C175" s="3" t="s">
        <v>21</v>
      </c>
      <c r="D175" s="3" t="s">
        <v>10</v>
      </c>
      <c r="E175" s="3" t="s">
        <v>20</v>
      </c>
      <c r="F175" s="3" t="s">
        <v>360</v>
      </c>
      <c r="G175" s="9">
        <v>44713</v>
      </c>
      <c r="H175" s="6">
        <v>2022</v>
      </c>
      <c r="I175" s="6" t="s">
        <v>76</v>
      </c>
      <c r="J175" s="7">
        <v>150000</v>
      </c>
      <c r="K175" s="2">
        <v>1</v>
      </c>
      <c r="L175" s="7">
        <v>125000</v>
      </c>
      <c r="M175" s="3" t="e">
        <f>VLOOKUP(F175,[2]Inventario!$A:$F,6,0)</f>
        <v>#N/A</v>
      </c>
      <c r="N175" s="3" t="s">
        <v>542</v>
      </c>
    </row>
    <row r="176" spans="1:14" x14ac:dyDescent="0.25">
      <c r="A176" s="3" t="s">
        <v>143</v>
      </c>
      <c r="B176" s="3" t="s">
        <v>365</v>
      </c>
      <c r="C176" s="3" t="s">
        <v>21</v>
      </c>
      <c r="D176" s="3" t="s">
        <v>8</v>
      </c>
      <c r="E176" s="3" t="s">
        <v>18</v>
      </c>
      <c r="F176" s="3" t="s">
        <v>361</v>
      </c>
      <c r="G176" s="9">
        <v>44713</v>
      </c>
      <c r="H176" s="6">
        <v>2022</v>
      </c>
      <c r="I176" s="6" t="s">
        <v>76</v>
      </c>
      <c r="J176" s="7">
        <v>160000</v>
      </c>
      <c r="K176" s="2">
        <v>1</v>
      </c>
      <c r="L176" s="7">
        <v>180500</v>
      </c>
      <c r="M176" s="3" t="e">
        <f>VLOOKUP(F176,[2]Inventario!$A:$F,6,0)</f>
        <v>#N/A</v>
      </c>
      <c r="N176" s="3" t="s">
        <v>542</v>
      </c>
    </row>
    <row r="177" spans="1:14" x14ac:dyDescent="0.25">
      <c r="A177" s="3" t="s">
        <v>144</v>
      </c>
      <c r="B177" s="3" t="s">
        <v>366</v>
      </c>
      <c r="C177" s="3" t="s">
        <v>21</v>
      </c>
      <c r="D177" s="3" t="s">
        <v>8</v>
      </c>
      <c r="E177" s="3" t="s">
        <v>18</v>
      </c>
      <c r="F177" s="3" t="s">
        <v>362</v>
      </c>
      <c r="G177" s="9">
        <v>44713</v>
      </c>
      <c r="H177" s="6">
        <v>2022</v>
      </c>
      <c r="I177" s="6" t="s">
        <v>76</v>
      </c>
      <c r="J177" s="7">
        <v>190000</v>
      </c>
      <c r="K177" s="2">
        <v>1</v>
      </c>
      <c r="L177" s="7">
        <v>140000</v>
      </c>
      <c r="M177" s="3" t="e">
        <f>VLOOKUP(F177,[2]Inventario!$A:$F,6,0)</f>
        <v>#N/A</v>
      </c>
      <c r="N177" s="3" t="s">
        <v>542</v>
      </c>
    </row>
    <row r="178" spans="1:14" x14ac:dyDescent="0.25">
      <c r="A178" s="3" t="s">
        <v>138</v>
      </c>
      <c r="B178" s="3" t="s">
        <v>210</v>
      </c>
      <c r="C178" s="3" t="s">
        <v>21</v>
      </c>
      <c r="D178" s="3" t="s">
        <v>50</v>
      </c>
      <c r="E178" s="3" t="s">
        <v>51</v>
      </c>
      <c r="F178" s="3" t="s">
        <v>356</v>
      </c>
      <c r="G178" s="9">
        <v>44682</v>
      </c>
      <c r="H178" s="6">
        <v>2022</v>
      </c>
      <c r="I178" s="6" t="s">
        <v>61</v>
      </c>
      <c r="J178" s="7">
        <v>190000</v>
      </c>
      <c r="K178" s="2">
        <v>1</v>
      </c>
      <c r="L178" s="7">
        <v>140000</v>
      </c>
      <c r="M178" s="3" t="e">
        <f>VLOOKUP(F178,[2]Inventario!$A:$F,6,0)</f>
        <v>#N/A</v>
      </c>
      <c r="N178" s="3" t="s">
        <v>542</v>
      </c>
    </row>
    <row r="179" spans="1:14" x14ac:dyDescent="0.25">
      <c r="A179" s="3" t="s">
        <v>137</v>
      </c>
      <c r="B179" s="3" t="s">
        <v>191</v>
      </c>
      <c r="C179" s="3" t="s">
        <v>21</v>
      </c>
      <c r="D179" s="3" t="s">
        <v>10</v>
      </c>
      <c r="E179" s="3" t="s">
        <v>20</v>
      </c>
      <c r="F179" s="3" t="s">
        <v>355</v>
      </c>
      <c r="G179" s="9">
        <v>44682</v>
      </c>
      <c r="H179" s="6">
        <v>2022</v>
      </c>
      <c r="I179" s="6" t="s">
        <v>61</v>
      </c>
      <c r="J179" s="7">
        <v>150000</v>
      </c>
      <c r="K179" s="2">
        <v>1</v>
      </c>
      <c r="L179" s="7">
        <v>125000</v>
      </c>
      <c r="M179" s="3" t="e">
        <f>VLOOKUP(F179,[2]Inventario!$A:$F,6,0)</f>
        <v>#N/A</v>
      </c>
      <c r="N179" s="3" t="s">
        <v>542</v>
      </c>
    </row>
    <row r="180" spans="1:14" x14ac:dyDescent="0.25">
      <c r="A180" s="3" t="s">
        <v>139</v>
      </c>
      <c r="B180" s="3" t="s">
        <v>47</v>
      </c>
      <c r="C180" s="3" t="s">
        <v>21</v>
      </c>
      <c r="D180" s="3" t="s">
        <v>9</v>
      </c>
      <c r="E180" s="3" t="s">
        <v>19</v>
      </c>
      <c r="F180" s="3" t="s">
        <v>357</v>
      </c>
      <c r="G180" s="9">
        <v>44682</v>
      </c>
      <c r="H180" s="6">
        <v>2022</v>
      </c>
      <c r="I180" s="6" t="s">
        <v>61</v>
      </c>
      <c r="J180" s="7">
        <v>190000</v>
      </c>
      <c r="K180" s="2">
        <v>1</v>
      </c>
      <c r="L180" s="7">
        <v>130000</v>
      </c>
      <c r="M180" s="3" t="e">
        <f>VLOOKUP(F180,[2]Inventario!$A:$F,6,0)</f>
        <v>#N/A</v>
      </c>
      <c r="N180" s="3" t="s">
        <v>542</v>
      </c>
    </row>
    <row r="181" spans="1:14" x14ac:dyDescent="0.25">
      <c r="A181" s="3" t="s">
        <v>135</v>
      </c>
      <c r="B181" s="3" t="s">
        <v>353</v>
      </c>
      <c r="C181" s="3" t="s">
        <v>21</v>
      </c>
      <c r="D181" s="3" t="s">
        <v>9</v>
      </c>
      <c r="E181" s="3" t="s">
        <v>19</v>
      </c>
      <c r="F181" s="3" t="s">
        <v>350</v>
      </c>
      <c r="G181" s="9">
        <v>44652</v>
      </c>
      <c r="H181" s="6">
        <v>2022</v>
      </c>
      <c r="I181" s="6" t="s">
        <v>60</v>
      </c>
      <c r="J181" s="7">
        <v>160000</v>
      </c>
      <c r="K181" s="2">
        <v>1</v>
      </c>
      <c r="L181" s="7">
        <v>160000</v>
      </c>
      <c r="M181" s="3" t="e">
        <f>VLOOKUP(F181,[2]Inventario!$A:$F,6,0)</f>
        <v>#REF!</v>
      </c>
      <c r="N181" s="3" t="s">
        <v>542</v>
      </c>
    </row>
    <row r="182" spans="1:14" x14ac:dyDescent="0.25">
      <c r="A182" s="3" t="s">
        <v>134</v>
      </c>
      <c r="B182" s="3" t="s">
        <v>352</v>
      </c>
      <c r="C182" s="3" t="s">
        <v>21</v>
      </c>
      <c r="D182" s="3" t="s">
        <v>9</v>
      </c>
      <c r="E182" s="3" t="s">
        <v>19</v>
      </c>
      <c r="F182" s="3" t="s">
        <v>349</v>
      </c>
      <c r="G182" s="9">
        <v>44652</v>
      </c>
      <c r="H182" s="6">
        <v>2022</v>
      </c>
      <c r="I182" s="6" t="s">
        <v>60</v>
      </c>
      <c r="J182" s="7">
        <v>170000</v>
      </c>
      <c r="K182" s="2">
        <v>1</v>
      </c>
      <c r="L182" s="7">
        <v>144000</v>
      </c>
      <c r="M182" s="3" t="e">
        <f>VLOOKUP(F182,[2]Inventario!$A:$F,6,0)</f>
        <v>#REF!</v>
      </c>
      <c r="N182" s="3" t="s">
        <v>542</v>
      </c>
    </row>
    <row r="183" spans="1:14" x14ac:dyDescent="0.25">
      <c r="A183" s="3" t="s">
        <v>136</v>
      </c>
      <c r="B183" s="3" t="s">
        <v>354</v>
      </c>
      <c r="C183" s="3" t="s">
        <v>21</v>
      </c>
      <c r="D183" s="3" t="s">
        <v>8</v>
      </c>
      <c r="E183" s="3" t="s">
        <v>18</v>
      </c>
      <c r="F183" s="3" t="s">
        <v>351</v>
      </c>
      <c r="G183" s="9">
        <v>44652</v>
      </c>
      <c r="H183" s="6">
        <v>2022</v>
      </c>
      <c r="I183" s="6" t="s">
        <v>60</v>
      </c>
      <c r="J183" s="7">
        <v>180000</v>
      </c>
      <c r="K183" s="2">
        <v>2</v>
      </c>
      <c r="L183" s="7">
        <v>140000</v>
      </c>
      <c r="M183" s="3" t="e">
        <f>VLOOKUP(F183,[2]Inventario!$A:$F,6,0)</f>
        <v>#REF!</v>
      </c>
      <c r="N183" s="3" t="s">
        <v>542</v>
      </c>
    </row>
    <row r="184" spans="1:14" x14ac:dyDescent="0.25">
      <c r="A184" s="3" t="s">
        <v>130</v>
      </c>
      <c r="B184" s="3" t="s">
        <v>192</v>
      </c>
      <c r="C184" s="3" t="s">
        <v>21</v>
      </c>
      <c r="D184" s="3" t="s">
        <v>8</v>
      </c>
      <c r="E184" s="3" t="s">
        <v>18</v>
      </c>
      <c r="F184" s="3" t="s">
        <v>345</v>
      </c>
      <c r="G184" s="9">
        <v>44621</v>
      </c>
      <c r="H184" s="6">
        <v>2022</v>
      </c>
      <c r="I184" s="6" t="s">
        <v>44</v>
      </c>
      <c r="J184" s="7">
        <v>190000</v>
      </c>
      <c r="K184" s="2">
        <v>1</v>
      </c>
      <c r="L184" s="7">
        <v>160000</v>
      </c>
      <c r="M184" s="3" t="e">
        <f>VLOOKUP(F184,[2]Inventario!$A:$F,6,0)</f>
        <v>#REF!</v>
      </c>
      <c r="N184" s="3" t="s">
        <v>542</v>
      </c>
    </row>
    <row r="185" spans="1:14" x14ac:dyDescent="0.25">
      <c r="A185" s="3" t="s">
        <v>132</v>
      </c>
      <c r="B185" s="3" t="s">
        <v>344</v>
      </c>
      <c r="C185" s="3" t="s">
        <v>21</v>
      </c>
      <c r="D185" s="3" t="s">
        <v>8</v>
      </c>
      <c r="E185" s="3" t="s">
        <v>18</v>
      </c>
      <c r="F185" s="3" t="s">
        <v>347</v>
      </c>
      <c r="G185" s="9">
        <v>44621</v>
      </c>
      <c r="H185" s="6">
        <v>2022</v>
      </c>
      <c r="I185" s="6" t="s">
        <v>44</v>
      </c>
      <c r="J185" s="7">
        <v>190000</v>
      </c>
      <c r="K185" s="2">
        <v>1</v>
      </c>
      <c r="L185" s="7">
        <v>160000</v>
      </c>
      <c r="M185" s="3" t="e">
        <f>VLOOKUP(F185,[2]Inventario!$A:$F,6,0)</f>
        <v>#REF!</v>
      </c>
      <c r="N185" s="3" t="s">
        <v>542</v>
      </c>
    </row>
    <row r="186" spans="1:14" x14ac:dyDescent="0.25">
      <c r="A186" s="3" t="s">
        <v>133</v>
      </c>
      <c r="B186" s="3" t="s">
        <v>215</v>
      </c>
      <c r="C186" s="3" t="s">
        <v>21</v>
      </c>
      <c r="D186" s="3" t="s">
        <v>8</v>
      </c>
      <c r="E186" s="3" t="s">
        <v>18</v>
      </c>
      <c r="F186" s="3" t="s">
        <v>348</v>
      </c>
      <c r="G186" s="9">
        <v>44621</v>
      </c>
      <c r="H186" s="6">
        <v>2022</v>
      </c>
      <c r="I186" s="6" t="s">
        <v>44</v>
      </c>
      <c r="J186" s="7">
        <v>180000</v>
      </c>
      <c r="K186" s="2">
        <v>1</v>
      </c>
      <c r="L186" s="7">
        <v>160000</v>
      </c>
      <c r="M186" s="3" t="e">
        <f>VLOOKUP(F186,[2]Inventario!$A:$F,6,0)</f>
        <v>#REF!</v>
      </c>
      <c r="N186" s="3" t="s">
        <v>542</v>
      </c>
    </row>
    <row r="187" spans="1:14" x14ac:dyDescent="0.25">
      <c r="A187" s="3" t="s">
        <v>131</v>
      </c>
      <c r="B187" s="3" t="s">
        <v>343</v>
      </c>
      <c r="C187" s="3" t="s">
        <v>21</v>
      </c>
      <c r="D187" s="3" t="s">
        <v>8</v>
      </c>
      <c r="E187" s="3" t="s">
        <v>18</v>
      </c>
      <c r="F187" s="3" t="s">
        <v>346</v>
      </c>
      <c r="G187" s="9">
        <v>44621</v>
      </c>
      <c r="H187" s="6">
        <v>2022</v>
      </c>
      <c r="I187" s="6" t="s">
        <v>44</v>
      </c>
      <c r="J187" s="7">
        <v>170000</v>
      </c>
      <c r="K187" s="2">
        <v>1</v>
      </c>
      <c r="L187" s="7">
        <v>169000</v>
      </c>
      <c r="M187" s="3" t="e">
        <f>VLOOKUP(F187,[2]Inventario!$A:$F,6,0)</f>
        <v>#REF!</v>
      </c>
      <c r="N187" s="3" t="s">
        <v>542</v>
      </c>
    </row>
    <row r="188" spans="1:14" x14ac:dyDescent="0.25">
      <c r="A188" s="3" t="s">
        <v>124</v>
      </c>
      <c r="B188" s="3" t="s">
        <v>325</v>
      </c>
      <c r="C188" s="3" t="s">
        <v>21</v>
      </c>
      <c r="D188" s="3" t="s">
        <v>10</v>
      </c>
      <c r="E188" s="3" t="s">
        <v>20</v>
      </c>
      <c r="F188" s="3" t="s">
        <v>329</v>
      </c>
      <c r="G188" s="9">
        <v>44593</v>
      </c>
      <c r="H188" s="6">
        <v>2022</v>
      </c>
      <c r="I188" s="6" t="s">
        <v>40</v>
      </c>
      <c r="J188" s="7">
        <v>150000</v>
      </c>
      <c r="K188" s="2">
        <v>1</v>
      </c>
      <c r="L188" s="7">
        <v>135000</v>
      </c>
      <c r="M188" s="3" t="e">
        <f>VLOOKUP(F188,[2]Inventario!$A:$F,6,0)</f>
        <v>#N/A</v>
      </c>
      <c r="N188" s="3" t="s">
        <v>542</v>
      </c>
    </row>
    <row r="189" spans="1:14" x14ac:dyDescent="0.25">
      <c r="A189" s="3" t="s">
        <v>125</v>
      </c>
      <c r="B189" s="3" t="s">
        <v>326</v>
      </c>
      <c r="C189" s="3" t="s">
        <v>21</v>
      </c>
      <c r="D189" s="3" t="s">
        <v>9</v>
      </c>
      <c r="E189" s="3" t="s">
        <v>19</v>
      </c>
      <c r="F189" s="3" t="s">
        <v>330</v>
      </c>
      <c r="G189" s="9">
        <v>44593</v>
      </c>
      <c r="H189" s="6">
        <v>2022</v>
      </c>
      <c r="I189" s="6" t="s">
        <v>40</v>
      </c>
      <c r="J189" s="7">
        <v>160000</v>
      </c>
      <c r="K189" s="2">
        <v>1</v>
      </c>
      <c r="L189" s="7">
        <v>144000</v>
      </c>
      <c r="M189" s="3" t="e">
        <f>VLOOKUP(F189,[2]Inventario!$A:$F,6,0)</f>
        <v>#N/A</v>
      </c>
      <c r="N189" s="3" t="s">
        <v>542</v>
      </c>
    </row>
    <row r="190" spans="1:14" x14ac:dyDescent="0.25">
      <c r="A190" s="3" t="s">
        <v>127</v>
      </c>
      <c r="B190" s="3" t="s">
        <v>327</v>
      </c>
      <c r="C190" s="3" t="s">
        <v>21</v>
      </c>
      <c r="D190" s="3" t="s">
        <v>9</v>
      </c>
      <c r="E190" s="3" t="s">
        <v>19</v>
      </c>
      <c r="F190" s="3" t="s">
        <v>331</v>
      </c>
      <c r="G190" s="9">
        <v>44593</v>
      </c>
      <c r="H190" s="6">
        <v>2022</v>
      </c>
      <c r="I190" s="6" t="s">
        <v>40</v>
      </c>
      <c r="J190" s="7">
        <v>150000</v>
      </c>
      <c r="K190" s="2">
        <v>1</v>
      </c>
      <c r="L190" s="7">
        <v>111553</v>
      </c>
      <c r="M190" s="3" t="e">
        <f>VLOOKUP(F190,[2]Inventario!$A:$F,6,0)</f>
        <v>#N/A</v>
      </c>
      <c r="N190" s="3" t="s">
        <v>542</v>
      </c>
    </row>
    <row r="191" spans="1:14" x14ac:dyDescent="0.25">
      <c r="A191" s="3" t="s">
        <v>128</v>
      </c>
      <c r="B191" s="3" t="s">
        <v>328</v>
      </c>
      <c r="C191" s="3" t="s">
        <v>21</v>
      </c>
      <c r="D191" s="3" t="s">
        <v>8</v>
      </c>
      <c r="E191" s="3" t="s">
        <v>18</v>
      </c>
      <c r="F191" s="3" t="s">
        <v>332</v>
      </c>
      <c r="G191" s="9">
        <v>44593</v>
      </c>
      <c r="H191" s="6">
        <v>2022</v>
      </c>
      <c r="I191" s="6" t="s">
        <v>40</v>
      </c>
      <c r="J191" s="7">
        <v>180000</v>
      </c>
      <c r="K191" s="2">
        <v>1</v>
      </c>
      <c r="L191" s="7">
        <v>160000</v>
      </c>
      <c r="M191" s="3" t="e">
        <f>VLOOKUP(F191,[2]Inventario!$A:$F,6,0)</f>
        <v>#N/A</v>
      </c>
      <c r="N191" s="3" t="s">
        <v>542</v>
      </c>
    </row>
    <row r="192" spans="1:14" x14ac:dyDescent="0.25">
      <c r="A192" s="3" t="s">
        <v>129</v>
      </c>
      <c r="B192" s="3" t="s">
        <v>328</v>
      </c>
      <c r="C192" s="3" t="s">
        <v>21</v>
      </c>
      <c r="D192" s="3" t="s">
        <v>9</v>
      </c>
      <c r="E192" s="3" t="s">
        <v>19</v>
      </c>
      <c r="F192" s="3" t="s">
        <v>332</v>
      </c>
      <c r="G192" s="9">
        <v>44593</v>
      </c>
      <c r="H192" s="6">
        <v>2022</v>
      </c>
      <c r="I192" s="6" t="s">
        <v>40</v>
      </c>
      <c r="J192" s="7">
        <v>160000</v>
      </c>
      <c r="K192" s="2">
        <v>1</v>
      </c>
      <c r="L192" s="7">
        <v>144000</v>
      </c>
      <c r="M192" s="3" t="e">
        <f>VLOOKUP(F192,[2]Inventario!$A:$F,6,0)</f>
        <v>#N/A</v>
      </c>
      <c r="N192" s="3" t="s">
        <v>542</v>
      </c>
    </row>
    <row r="193" spans="1:14" x14ac:dyDescent="0.25">
      <c r="A193" s="3" t="s">
        <v>126</v>
      </c>
      <c r="B193" s="3" t="s">
        <v>250</v>
      </c>
      <c r="C193" s="3" t="s">
        <v>21</v>
      </c>
      <c r="D193" s="3" t="s">
        <v>8</v>
      </c>
      <c r="E193" s="3" t="s">
        <v>18</v>
      </c>
      <c r="F193" s="3" t="s">
        <v>522</v>
      </c>
      <c r="G193" s="9">
        <v>44593</v>
      </c>
      <c r="H193" s="6">
        <v>2022</v>
      </c>
      <c r="I193" s="6" t="s">
        <v>40</v>
      </c>
      <c r="J193" s="7">
        <v>190000</v>
      </c>
      <c r="K193" s="2">
        <v>1</v>
      </c>
      <c r="L193" s="7">
        <v>160000</v>
      </c>
      <c r="M193" s="3" t="e">
        <f>VLOOKUP(F193,[2]Inventario!$A:$F,6,0)</f>
        <v>#N/A</v>
      </c>
      <c r="N193" s="3" t="s">
        <v>542</v>
      </c>
    </row>
    <row r="194" spans="1:14" x14ac:dyDescent="0.25">
      <c r="A194" s="3" t="s">
        <v>119</v>
      </c>
      <c r="B194" s="3" t="s">
        <v>321</v>
      </c>
      <c r="C194" s="3" t="s">
        <v>21</v>
      </c>
      <c r="D194" s="3" t="s">
        <v>10</v>
      </c>
      <c r="E194" s="3" t="s">
        <v>20</v>
      </c>
      <c r="F194" s="3" t="s">
        <v>315</v>
      </c>
      <c r="G194" s="9">
        <v>44562</v>
      </c>
      <c r="H194" s="6">
        <v>2022</v>
      </c>
      <c r="I194" s="6" t="s">
        <v>25</v>
      </c>
      <c r="J194" s="7">
        <v>150000</v>
      </c>
      <c r="K194" s="2">
        <v>1</v>
      </c>
      <c r="L194" s="7">
        <v>130000</v>
      </c>
      <c r="M194" s="3" t="e">
        <f>VLOOKUP(F194,[2]Inventario!$A:$F,6,0)</f>
        <v>#REF!</v>
      </c>
      <c r="N194" s="3" t="s">
        <v>542</v>
      </c>
    </row>
    <row r="195" spans="1:14" x14ac:dyDescent="0.25">
      <c r="A195" s="3" t="s">
        <v>117</v>
      </c>
      <c r="B195" s="3" t="s">
        <v>320</v>
      </c>
      <c r="C195" s="3" t="s">
        <v>21</v>
      </c>
      <c r="D195" s="3" t="s">
        <v>8</v>
      </c>
      <c r="E195" s="3" t="s">
        <v>18</v>
      </c>
      <c r="F195" s="3" t="s">
        <v>313</v>
      </c>
      <c r="G195" s="9">
        <v>44562</v>
      </c>
      <c r="H195" s="6">
        <v>2022</v>
      </c>
      <c r="I195" s="6" t="s">
        <v>25</v>
      </c>
      <c r="J195" s="7">
        <v>170000</v>
      </c>
      <c r="K195" s="2">
        <v>1</v>
      </c>
      <c r="L195" s="7">
        <v>111553</v>
      </c>
      <c r="M195" s="3" t="str">
        <f>VLOOKUP(F195,[2]Inventario!$A:$F,6,0)</f>
        <v>G070VM2213521UG7</v>
      </c>
      <c r="N195" s="3" t="s">
        <v>542</v>
      </c>
    </row>
    <row r="196" spans="1:14" x14ac:dyDescent="0.25">
      <c r="A196" s="3" t="s">
        <v>120</v>
      </c>
      <c r="B196" s="3" t="s">
        <v>322</v>
      </c>
      <c r="C196" s="3" t="s">
        <v>21</v>
      </c>
      <c r="D196" s="3" t="s">
        <v>9</v>
      </c>
      <c r="E196" s="3" t="s">
        <v>19</v>
      </c>
      <c r="F196" s="3" t="s">
        <v>316</v>
      </c>
      <c r="G196" s="9">
        <v>44562</v>
      </c>
      <c r="H196" s="6">
        <v>2022</v>
      </c>
      <c r="I196" s="6" t="s">
        <v>25</v>
      </c>
      <c r="J196" s="7">
        <v>150000</v>
      </c>
      <c r="K196" s="2">
        <v>1</v>
      </c>
      <c r="L196" s="7">
        <v>170000</v>
      </c>
      <c r="M196" s="3" t="e">
        <f>VLOOKUP(F196,[2]Inventario!$A:$F,6,0)</f>
        <v>#REF!</v>
      </c>
      <c r="N196" s="3" t="s">
        <v>542</v>
      </c>
    </row>
    <row r="197" spans="1:14" x14ac:dyDescent="0.25">
      <c r="A197" s="3" t="s">
        <v>118</v>
      </c>
      <c r="B197" s="3" t="s">
        <v>70</v>
      </c>
      <c r="C197" s="3" t="s">
        <v>21</v>
      </c>
      <c r="D197" s="3" t="s">
        <v>10</v>
      </c>
      <c r="E197" s="3" t="s">
        <v>20</v>
      </c>
      <c r="F197" s="3" t="s">
        <v>314</v>
      </c>
      <c r="G197" s="9">
        <v>44562</v>
      </c>
      <c r="H197" s="6">
        <v>2022</v>
      </c>
      <c r="I197" s="6" t="s">
        <v>25</v>
      </c>
      <c r="J197" s="7">
        <v>150000</v>
      </c>
      <c r="K197" s="2">
        <v>1</v>
      </c>
      <c r="L197" s="7">
        <v>111553</v>
      </c>
      <c r="M197" s="3" t="str">
        <f>VLOOKUP(F197,[2]Inventario!$A:$F,6,0)</f>
        <v>G070VM241406216U</v>
      </c>
      <c r="N197" s="3" t="s">
        <v>542</v>
      </c>
    </row>
    <row r="198" spans="1:14" x14ac:dyDescent="0.25">
      <c r="A198" s="3" t="s">
        <v>121</v>
      </c>
      <c r="B198" s="3" t="s">
        <v>323</v>
      </c>
      <c r="C198" s="3" t="s">
        <v>21</v>
      </c>
      <c r="D198" s="3" t="s">
        <v>8</v>
      </c>
      <c r="E198" s="3" t="s">
        <v>18</v>
      </c>
      <c r="F198" s="3" t="s">
        <v>317</v>
      </c>
      <c r="G198" s="9">
        <v>44562</v>
      </c>
      <c r="H198" s="6">
        <v>2022</v>
      </c>
      <c r="I198" s="6" t="s">
        <v>25</v>
      </c>
      <c r="J198" s="7">
        <v>190000</v>
      </c>
      <c r="K198" s="2">
        <v>1</v>
      </c>
      <c r="L198" s="7">
        <v>180000</v>
      </c>
      <c r="M198" s="3" t="e">
        <f>VLOOKUP(F198,[2]Inventario!$A:$F,6,0)</f>
        <v>#REF!</v>
      </c>
      <c r="N198" s="3" t="s">
        <v>542</v>
      </c>
    </row>
    <row r="199" spans="1:14" x14ac:dyDescent="0.25">
      <c r="A199" s="3" t="s">
        <v>122</v>
      </c>
      <c r="B199" s="3" t="s">
        <v>323</v>
      </c>
      <c r="C199" s="3" t="s">
        <v>21</v>
      </c>
      <c r="D199" s="3" t="s">
        <v>8</v>
      </c>
      <c r="E199" s="3" t="s">
        <v>18</v>
      </c>
      <c r="F199" s="3" t="s">
        <v>318</v>
      </c>
      <c r="G199" s="9">
        <v>44562</v>
      </c>
      <c r="H199" s="6">
        <v>2022</v>
      </c>
      <c r="I199" s="6" t="s">
        <v>25</v>
      </c>
      <c r="J199" s="7">
        <v>190000</v>
      </c>
      <c r="K199" s="2">
        <v>1</v>
      </c>
      <c r="L199" s="7">
        <v>180000</v>
      </c>
      <c r="M199" s="3" t="e">
        <f>VLOOKUP(F199,[2]Inventario!$A:$F,6,0)</f>
        <v>#REF!</v>
      </c>
      <c r="N199" s="3" t="s">
        <v>542</v>
      </c>
    </row>
    <row r="200" spans="1:14" x14ac:dyDescent="0.25">
      <c r="A200" s="3" t="s">
        <v>123</v>
      </c>
      <c r="B200" s="3" t="s">
        <v>324</v>
      </c>
      <c r="C200" s="3" t="s">
        <v>21</v>
      </c>
      <c r="D200" s="3" t="s">
        <v>8</v>
      </c>
      <c r="E200" s="3" t="s">
        <v>18</v>
      </c>
      <c r="F200" s="3" t="s">
        <v>319</v>
      </c>
      <c r="G200" s="9">
        <v>44562</v>
      </c>
      <c r="H200" s="6">
        <v>2022</v>
      </c>
      <c r="I200" s="6" t="s">
        <v>25</v>
      </c>
      <c r="J200" s="7">
        <v>170000</v>
      </c>
      <c r="K200" s="2">
        <v>1</v>
      </c>
      <c r="L200" s="7">
        <v>111553</v>
      </c>
      <c r="M200" s="3" t="str">
        <f>VLOOKUP(F200,[2]Inventario!$A:$F,6,0)</f>
        <v>G4N0VM0812940KU0</v>
      </c>
      <c r="N200" s="3" t="s">
        <v>542</v>
      </c>
    </row>
  </sheetData>
  <autoFilter ref="A1:M200" xr:uid="{00000000-0001-0000-0000-000000000000}">
    <sortState xmlns:xlrd2="http://schemas.microsoft.com/office/spreadsheetml/2017/richdata2" ref="A2:M200">
      <sortCondition descending="1" ref="G1:G200"/>
    </sortState>
  </autoFilter>
  <phoneticPr fontId="6" type="noConversion"/>
  <conditionalFormatting sqref="A1:A1048576">
    <cfRule type="duplicateValues" dxfId="2" priority="2"/>
    <cfRule type="duplicateValues" dxfId="1" priority="3"/>
  </conditionalFormatting>
  <conditionalFormatting sqref="M1:M1048576 N1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56D793D67F3A4AB4D20CB959B266D0" ma:contentTypeVersion="4" ma:contentTypeDescription="Crear nuevo documento." ma:contentTypeScope="" ma:versionID="611cbbdf845c335450ec9b7cdf8f72d0">
  <xsd:schema xmlns:xsd="http://www.w3.org/2001/XMLSchema" xmlns:xs="http://www.w3.org/2001/XMLSchema" xmlns:p="http://schemas.microsoft.com/office/2006/metadata/properties" xmlns:ns2="e60ade56-7937-4eb3-b7cb-7c910e6c4f1d" targetNamespace="http://schemas.microsoft.com/office/2006/metadata/properties" ma:root="true" ma:fieldsID="5075560efe3ecab5a63ed19ae1c721bf" ns2:_="">
    <xsd:import namespace="e60ade56-7937-4eb3-b7cb-7c910e6c4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ade56-7937-4eb3-b7cb-7c910e6c4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20D2E1-3CDC-4AD2-B2DF-A7E51DB887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60E9175-1327-4F7D-BD6D-90BBD3E8F8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0ade56-7937-4eb3-b7cb-7c910e6c4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DE0541-9D3F-44E5-A2AC-C233CCF331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Fire 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Escobar Diaz</cp:lastModifiedBy>
  <dcterms:created xsi:type="dcterms:W3CDTF">2019-06-27T11:44:07Z</dcterms:created>
  <dcterms:modified xsi:type="dcterms:W3CDTF">2026-07-05T02:41:46Z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0x010100A456D793D67F3A4AB4D20CB959B266D0</vt:lpwstr>
  </property>
</Properties>
</file>