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kisdTV\Tablas\"/>
    </mc:Choice>
  </mc:AlternateContent>
  <xr:revisionPtr revIDLastSave="0" documentId="8_{C6EBAE47-D8CB-4D78-BEE9-1E4BF67FFEE3}" xr6:coauthVersionLast="47" xr6:coauthVersionMax="47" xr10:uidLastSave="{00000000-0000-0000-0000-000000000000}"/>
  <bookViews>
    <workbookView xWindow="-120" yWindow="-120" windowWidth="29040" windowHeight="15720" xr2:uid="{506E916E-A720-4F5D-8858-C9DBD3DE28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<sst xmlns="http://schemas.openxmlformats.org/spreadsheetml/2006/main" count="98" uniqueCount="58">
  <si>
    <t>No</t>
  </si>
  <si>
    <t>Fecha Compra</t>
  </si>
  <si>
    <t xml:space="preserve">Descripcion </t>
  </si>
  <si>
    <t>Proveedor</t>
  </si>
  <si>
    <t>Serie</t>
  </si>
  <si>
    <t>Costo Unitario USD</t>
  </si>
  <si>
    <t>Envio</t>
  </si>
  <si>
    <t>Impuestos USD</t>
  </si>
  <si>
    <t>Transporte COP</t>
  </si>
  <si>
    <t>Cantidad</t>
  </si>
  <si>
    <t>Total</t>
  </si>
  <si>
    <t>TRM</t>
  </si>
  <si>
    <t>Costo Uni COP</t>
  </si>
  <si>
    <t>Costo Total COP</t>
  </si>
  <si>
    <t xml:space="preserve">% Utilidad </t>
  </si>
  <si>
    <t>Precio Sugerido</t>
  </si>
  <si>
    <t>Ganancia</t>
  </si>
  <si>
    <t xml:space="preserve">Estado </t>
  </si>
  <si>
    <t>En Bodega</t>
  </si>
  <si>
    <t>in001</t>
  </si>
  <si>
    <t>Watch-onn-china</t>
  </si>
  <si>
    <t>Local</t>
  </si>
  <si>
    <t>wonnch03</t>
  </si>
  <si>
    <t>Fire TV HD</t>
  </si>
  <si>
    <t>in002</t>
  </si>
  <si>
    <t>wonnch04</t>
  </si>
  <si>
    <t>Fire TV 4K</t>
  </si>
  <si>
    <t>in003</t>
  </si>
  <si>
    <t>wonnch05</t>
  </si>
  <si>
    <t>Fire TV 4K MAX</t>
  </si>
  <si>
    <t>in004</t>
  </si>
  <si>
    <t>wonnch06</t>
  </si>
  <si>
    <t>in005</t>
  </si>
  <si>
    <t xml:space="preserve">Amazon </t>
  </si>
  <si>
    <t>T00437E6B0575828</t>
  </si>
  <si>
    <t>in006</t>
  </si>
  <si>
    <t>T00437E6B0575307</t>
  </si>
  <si>
    <t>in007</t>
  </si>
  <si>
    <t>GT51CQ1851721GDH</t>
  </si>
  <si>
    <t>in008</t>
  </si>
  <si>
    <t>GT51CQ1851620M9P</t>
  </si>
  <si>
    <t>in009</t>
  </si>
  <si>
    <t>GT52JM045107002H</t>
  </si>
  <si>
    <t>in010</t>
  </si>
  <si>
    <t>G4N1CQ1845132G6H</t>
  </si>
  <si>
    <t>in011</t>
  </si>
  <si>
    <t>Fire TV LITE</t>
  </si>
  <si>
    <t>G4N1CQ154222079V</t>
  </si>
  <si>
    <t>in012</t>
  </si>
  <si>
    <t>G4N1CQ15422211JN</t>
  </si>
  <si>
    <t>in013</t>
  </si>
  <si>
    <t>G4N1CQ1542221D8V</t>
  </si>
  <si>
    <t>in014</t>
  </si>
  <si>
    <t>G072JN02442306MP</t>
  </si>
  <si>
    <t>in015</t>
  </si>
  <si>
    <t>G4N1CQ15420410T1</t>
  </si>
  <si>
    <t>in016</t>
  </si>
  <si>
    <t>G4N1CQ1542040CLE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</si>
</sst>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"/>
    <numFmt numFmtId="165" formatCode="&quot;$&quot;\ #,##0.00"/>
    <numFmt numFmtId="167" formatCode="_(&quot;$&quot;* #,##0_);_(&quot;$&quot;* \(#,##0\);_(&quot;$&quot;* &quot;-&quot;??_);_(@_)"/>
    <numFmt numFmtId="168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 tint="0.24994659260841701"/>
      <name val="Aptos Display"/>
      <family val="2"/>
      <scheme val="major"/>
    </font>
    <font>
      <b/>
      <sz val="11"/>
      <color theme="1" tint="0.2499465926084170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167" fontId="3" fillId="2" borderId="1" xfId="1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168" fontId="0" fillId="2" borderId="1" xfId="2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123"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E71B-E20E-4704-ABFA-C521B6D3DCD1}">
  <dimension ref="A1:R17"/>
  <sheetViews>
    <sheetView tabSelected="1" workbookViewId="0">
      <selection activeCell="F11" sqref="F11"/>
    </sheetView>
  </sheetViews>
  <sheetFormatPr baseColWidth="10" defaultRowHeight="15" x14ac:dyDescent="0.25"/>
  <cols>
    <col min="1" max="1" width="8.28515625" bestFit="1" customWidth="1"/>
    <col min="2" max="2" width="20.140625" bestFit="1" customWidth="1"/>
    <col min="3" max="3" width="17.28515625" bestFit="1" customWidth="1"/>
    <col min="4" max="4" width="14.28515625" bestFit="1" customWidth="1"/>
    <col min="5" max="5" width="21.42578125" bestFit="1" customWidth="1"/>
    <col min="6" max="6" width="26.140625" bestFit="1" customWidth="1"/>
    <col min="7" max="7" width="8.28515625" bestFit="1" customWidth="1"/>
    <col min="8" max="8" width="21.28515625" bestFit="1" customWidth="1"/>
    <col min="9" max="9" width="21.7109375" bestFit="1" customWidth="1"/>
    <col min="10" max="10" width="12.85546875" bestFit="1" customWidth="1"/>
    <col min="11" max="11" width="7.7109375" bestFit="1" customWidth="1"/>
    <col min="12" max="12" width="12" bestFit="1" customWidth="1"/>
    <col min="13" max="13" width="20.28515625" bestFit="1" customWidth="1"/>
    <col min="14" max="14" width="22.5703125" bestFit="1" customWidth="1"/>
    <col min="15" max="15" width="15" bestFit="1" customWidth="1"/>
    <col min="16" max="16" width="21.28515625" bestFit="1" customWidth="1"/>
    <col min="17" max="17" width="13.42578125" bestFit="1" customWidth="1"/>
    <col min="18" max="18" width="10.7109375" bestFit="1" customWidth="1"/>
  </cols>
  <sheetData>
    <row r="1" spans="1:18" s="3" customFormat="1" ht="2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3" customFormat="1" ht="21" x14ac:dyDescent="0.25">
      <c r="A2" s="1" t="s">
        <v>19</v>
      </c>
      <c r="B2" s="5">
        <v>46143</v>
      </c>
      <c r="C2" s="4" t="s">
        <v>20</v>
      </c>
      <c r="D2" s="4" t="s">
        <v>21</v>
      </c>
      <c r="E2" s="4" t="s">
        <v>22</v>
      </c>
      <c r="F2" s="4"/>
      <c r="G2" s="4">
        <v>0</v>
      </c>
      <c r="H2" s="4">
        <v>0</v>
      </c>
      <c r="I2" s="6">
        <v>0</v>
      </c>
      <c r="J2" s="4">
        <v>1</v>
      </c>
      <c r="K2" s="7">
        <v>0</v>
      </c>
      <c r="L2" s="8">
        <v>0</v>
      </c>
      <c r="M2" s="9">
        <v>110000</v>
      </c>
      <c r="N2" s="10">
        <v>110000</v>
      </c>
      <c r="O2" s="11">
        <v>0.18181818181818182</v>
      </c>
      <c r="P2" s="9">
        <v>130000</v>
      </c>
      <c r="Q2" s="12">
        <v>20000</v>
      </c>
      <c r="R2" s="4" t="s">
        <v>18</v>
      </c>
    </row>
    <row r="3" spans="1:18" s="3" customFormat="1" ht="21" x14ac:dyDescent="0.25">
      <c r="A3" s="1" t="s">
        <v>24</v>
      </c>
      <c r="B3" s="5">
        <v>46143</v>
      </c>
      <c r="C3" s="4" t="s">
        <v>20</v>
      </c>
      <c r="D3" s="4" t="s">
        <v>21</v>
      </c>
      <c r="E3" s="4" t="s">
        <v>25</v>
      </c>
      <c r="F3" s="4"/>
      <c r="G3" s="4">
        <v>0</v>
      </c>
      <c r="H3" s="4">
        <v>0</v>
      </c>
      <c r="I3" s="6">
        <v>0</v>
      </c>
      <c r="J3" s="4">
        <v>1</v>
      </c>
      <c r="K3" s="7">
        <v>0</v>
      </c>
      <c r="L3" s="8">
        <v>0</v>
      </c>
      <c r="M3" s="9">
        <v>110000</v>
      </c>
      <c r="N3" s="10">
        <v>110000</v>
      </c>
      <c r="O3" s="11">
        <v>0.18181818181818182</v>
      </c>
      <c r="P3" s="9">
        <v>130000</v>
      </c>
      <c r="Q3" s="12">
        <v>20000</v>
      </c>
      <c r="R3" s="4" t="s">
        <v>18</v>
      </c>
    </row>
    <row r="4" spans="1:18" s="3" customFormat="1" ht="21" x14ac:dyDescent="0.25">
      <c r="A4" s="1" t="s">
        <v>27</v>
      </c>
      <c r="B4" s="5">
        <v>46143</v>
      </c>
      <c r="C4" s="4" t="s">
        <v>20</v>
      </c>
      <c r="D4" s="4" t="s">
        <v>21</v>
      </c>
      <c r="E4" s="4" t="s">
        <v>28</v>
      </c>
      <c r="F4" s="4"/>
      <c r="G4" s="4">
        <v>0</v>
      </c>
      <c r="H4" s="4">
        <v>0</v>
      </c>
      <c r="I4" s="6">
        <v>0</v>
      </c>
      <c r="J4" s="4">
        <v>1</v>
      </c>
      <c r="K4" s="7">
        <v>0</v>
      </c>
      <c r="L4" s="8">
        <v>0</v>
      </c>
      <c r="M4" s="9">
        <v>110000</v>
      </c>
      <c r="N4" s="10">
        <v>110000</v>
      </c>
      <c r="O4" s="11">
        <v>0.18181818181818182</v>
      </c>
      <c r="P4" s="9">
        <v>130000</v>
      </c>
      <c r="Q4" s="12">
        <v>20000</v>
      </c>
      <c r="R4" s="4" t="s">
        <v>18</v>
      </c>
    </row>
    <row r="5" spans="1:18" s="3" customFormat="1" ht="21" x14ac:dyDescent="0.25">
      <c r="A5" s="1" t="s">
        <v>30</v>
      </c>
      <c r="B5" s="5">
        <v>46143</v>
      </c>
      <c r="C5" s="4" t="s">
        <v>20</v>
      </c>
      <c r="D5" s="4" t="s">
        <v>21</v>
      </c>
      <c r="E5" s="4" t="s">
        <v>31</v>
      </c>
      <c r="F5" s="4"/>
      <c r="G5" s="4">
        <v>0</v>
      </c>
      <c r="H5" s="4">
        <v>0</v>
      </c>
      <c r="I5" s="6">
        <v>0</v>
      </c>
      <c r="J5" s="4">
        <v>1</v>
      </c>
      <c r="K5" s="7">
        <v>0</v>
      </c>
      <c r="L5" s="8">
        <v>0</v>
      </c>
      <c r="M5" s="9">
        <v>110000</v>
      </c>
      <c r="N5" s="10">
        <v>110000</v>
      </c>
      <c r="O5" s="11">
        <v>0.18181818181818182</v>
      </c>
      <c r="P5" s="9">
        <v>130000</v>
      </c>
      <c r="Q5" s="12">
        <v>20000</v>
      </c>
      <c r="R5" s="4" t="s">
        <v>18</v>
      </c>
    </row>
    <row r="6" spans="1:18" s="3" customFormat="1" ht="21" x14ac:dyDescent="0.25">
      <c r="A6" s="1" t="s">
        <v>32</v>
      </c>
      <c r="B6" s="5">
        <v>45882</v>
      </c>
      <c r="C6" s="4" t="s">
        <v>29</v>
      </c>
      <c r="D6" s="4" t="s">
        <v>33</v>
      </c>
      <c r="E6" s="4" t="s">
        <v>34</v>
      </c>
      <c r="F6" s="4">
        <v>34.99</v>
      </c>
      <c r="G6" s="4">
        <v>0</v>
      </c>
      <c r="H6" s="4">
        <v>0</v>
      </c>
      <c r="I6" s="6">
        <v>15000</v>
      </c>
      <c r="J6" s="4">
        <v>1</v>
      </c>
      <c r="K6" s="7">
        <v>34.99</v>
      </c>
      <c r="L6" s="8">
        <v>4022</v>
      </c>
      <c r="M6" s="9">
        <v>155729.78</v>
      </c>
      <c r="N6" s="10">
        <v>155729.78</v>
      </c>
      <c r="O6" s="11">
        <v>0.34848967230288258</v>
      </c>
      <c r="P6" s="9">
        <v>210000</v>
      </c>
      <c r="Q6" s="12">
        <v>54270.22</v>
      </c>
      <c r="R6" s="4" t="s">
        <v>18</v>
      </c>
    </row>
    <row r="7" spans="1:18" s="3" customFormat="1" ht="21" x14ac:dyDescent="0.25">
      <c r="A7" s="1" t="s">
        <v>35</v>
      </c>
      <c r="B7" s="5">
        <v>45882</v>
      </c>
      <c r="C7" s="4" t="s">
        <v>29</v>
      </c>
      <c r="D7" s="4" t="s">
        <v>33</v>
      </c>
      <c r="E7" s="4" t="s">
        <v>36</v>
      </c>
      <c r="F7" s="4">
        <v>34.99</v>
      </c>
      <c r="G7" s="4">
        <v>0</v>
      </c>
      <c r="H7" s="4">
        <v>0</v>
      </c>
      <c r="I7" s="6">
        <v>15000</v>
      </c>
      <c r="J7" s="4">
        <v>1</v>
      </c>
      <c r="K7" s="7">
        <v>34.99</v>
      </c>
      <c r="L7" s="8">
        <v>4069.6904626577243</v>
      </c>
      <c r="M7" s="9">
        <v>157398.46928839377</v>
      </c>
      <c r="N7" s="10">
        <v>157398.46928839377</v>
      </c>
      <c r="O7" s="11">
        <v>0.33419340702244654</v>
      </c>
      <c r="P7" s="9">
        <v>210000</v>
      </c>
      <c r="Q7" s="12">
        <v>52601.530711606232</v>
      </c>
      <c r="R7" s="4" t="s">
        <v>18</v>
      </c>
    </row>
    <row r="8" spans="1:18" s="3" customFormat="1" ht="21" x14ac:dyDescent="0.25">
      <c r="A8" s="1" t="s">
        <v>37</v>
      </c>
      <c r="B8" s="5">
        <v>45853</v>
      </c>
      <c r="C8" s="4" t="s">
        <v>23</v>
      </c>
      <c r="D8" s="4" t="s">
        <v>33</v>
      </c>
      <c r="E8" s="4" t="s">
        <v>38</v>
      </c>
      <c r="F8" s="4">
        <v>17.989999999999998</v>
      </c>
      <c r="G8" s="4">
        <v>0</v>
      </c>
      <c r="H8" s="4">
        <v>0</v>
      </c>
      <c r="I8" s="6">
        <v>15000</v>
      </c>
      <c r="J8" s="4">
        <v>1</v>
      </c>
      <c r="K8" s="7">
        <v>17.989999999999998</v>
      </c>
      <c r="L8" s="8">
        <v>4059.9624791550868</v>
      </c>
      <c r="M8" s="9">
        <v>88038.725000000006</v>
      </c>
      <c r="N8" s="10">
        <v>88038.725000000006</v>
      </c>
      <c r="O8" s="11">
        <v>0.93096844598783079</v>
      </c>
      <c r="P8" s="9">
        <v>170000</v>
      </c>
      <c r="Q8" s="12">
        <v>81961.274999999994</v>
      </c>
      <c r="R8" s="4" t="s">
        <v>18</v>
      </c>
    </row>
    <row r="9" spans="1:18" s="3" customFormat="1" ht="21" x14ac:dyDescent="0.25">
      <c r="A9" s="1" t="s">
        <v>39</v>
      </c>
      <c r="B9" s="5">
        <v>45852</v>
      </c>
      <c r="C9" s="4" t="s">
        <v>23</v>
      </c>
      <c r="D9" s="4" t="s">
        <v>33</v>
      </c>
      <c r="E9" s="4" t="s">
        <v>40</v>
      </c>
      <c r="F9" s="4">
        <v>17.989999999999998</v>
      </c>
      <c r="G9" s="4">
        <v>0</v>
      </c>
      <c r="H9" s="4">
        <v>0</v>
      </c>
      <c r="I9" s="6">
        <v>15000</v>
      </c>
      <c r="J9" s="4">
        <v>1</v>
      </c>
      <c r="K9" s="7">
        <v>17.989999999999998</v>
      </c>
      <c r="L9" s="8">
        <v>4069.6904626577243</v>
      </c>
      <c r="M9" s="9">
        <v>88213.731423212448</v>
      </c>
      <c r="N9" s="10">
        <v>88213.731423212448</v>
      </c>
      <c r="O9" s="11">
        <v>0.92713761516799886</v>
      </c>
      <c r="P9" s="9">
        <v>170000</v>
      </c>
      <c r="Q9" s="12">
        <v>81786.268576787552</v>
      </c>
      <c r="R9" s="4" t="s">
        <v>18</v>
      </c>
    </row>
    <row r="10" spans="1:18" s="3" customFormat="1" ht="21" x14ac:dyDescent="0.25">
      <c r="A10" s="1" t="s">
        <v>41</v>
      </c>
      <c r="B10" s="5">
        <v>45852</v>
      </c>
      <c r="C10" s="4" t="s">
        <v>29</v>
      </c>
      <c r="D10" s="4" t="s">
        <v>33</v>
      </c>
      <c r="E10" s="4" t="s">
        <v>42</v>
      </c>
      <c r="F10" s="4">
        <v>34.99</v>
      </c>
      <c r="G10" s="4">
        <v>0</v>
      </c>
      <c r="H10" s="4">
        <v>0</v>
      </c>
      <c r="I10" s="6">
        <v>15000</v>
      </c>
      <c r="J10" s="4">
        <v>1</v>
      </c>
      <c r="K10" s="7">
        <v>34.99</v>
      </c>
      <c r="L10" s="8">
        <v>4069.6904626577243</v>
      </c>
      <c r="M10" s="9">
        <v>157398.46928839377</v>
      </c>
      <c r="N10" s="10">
        <v>157398.46928839377</v>
      </c>
      <c r="O10" s="11">
        <v>0.33419340702244654</v>
      </c>
      <c r="P10" s="9">
        <v>210000</v>
      </c>
      <c r="Q10" s="12">
        <v>52601.530711606232</v>
      </c>
      <c r="R10" s="4" t="s">
        <v>18</v>
      </c>
    </row>
    <row r="11" spans="1:18" s="3" customFormat="1" ht="21" x14ac:dyDescent="0.25">
      <c r="A11" s="1" t="s">
        <v>43</v>
      </c>
      <c r="B11" s="5">
        <v>45770</v>
      </c>
      <c r="C11" s="4" t="s">
        <v>23</v>
      </c>
      <c r="D11" s="4" t="s">
        <v>33</v>
      </c>
      <c r="E11" s="4" t="s">
        <v>44</v>
      </c>
      <c r="F11" s="4">
        <v>19.989999999999998</v>
      </c>
      <c r="G11" s="4">
        <v>0</v>
      </c>
      <c r="H11" s="4">
        <v>0</v>
      </c>
      <c r="I11" s="6">
        <v>15000</v>
      </c>
      <c r="J11" s="4">
        <v>1</v>
      </c>
      <c r="K11" s="7">
        <v>19.989999999999998</v>
      </c>
      <c r="L11" s="8">
        <v>4236</v>
      </c>
      <c r="M11" s="9">
        <v>99677.64</v>
      </c>
      <c r="N11" s="10">
        <v>99677.64</v>
      </c>
      <c r="O11" s="11">
        <v>0.70549784284619899</v>
      </c>
      <c r="P11" s="9">
        <v>170000</v>
      </c>
      <c r="Q11" s="12">
        <v>70322.36</v>
      </c>
      <c r="R11" s="4" t="s">
        <v>18</v>
      </c>
    </row>
    <row r="12" spans="1:18" s="3" customFormat="1" ht="21" x14ac:dyDescent="0.25">
      <c r="A12" s="1" t="s">
        <v>45</v>
      </c>
      <c r="B12" s="5">
        <v>45706</v>
      </c>
      <c r="C12" s="4" t="s">
        <v>46</v>
      </c>
      <c r="D12" s="4" t="s">
        <v>33</v>
      </c>
      <c r="E12" s="4" t="s">
        <v>47</v>
      </c>
      <c r="F12" s="4">
        <v>17.989999999999998</v>
      </c>
      <c r="G12" s="4">
        <v>0</v>
      </c>
      <c r="H12" s="4">
        <v>0</v>
      </c>
      <c r="I12" s="6">
        <v>18630.555555555555</v>
      </c>
      <c r="J12" s="4">
        <v>1</v>
      </c>
      <c r="K12" s="7">
        <v>17.989999999999998</v>
      </c>
      <c r="L12" s="8">
        <v>4236</v>
      </c>
      <c r="M12" s="9">
        <v>94836.195555555547</v>
      </c>
      <c r="N12" s="10">
        <v>94836.195555555547</v>
      </c>
      <c r="O12" s="11">
        <v>0.58167458238167302</v>
      </c>
      <c r="P12" s="9">
        <v>150000</v>
      </c>
      <c r="Q12" s="12">
        <v>55163.804444444453</v>
      </c>
      <c r="R12" s="4" t="s">
        <v>18</v>
      </c>
    </row>
    <row r="13" spans="1:18" s="3" customFormat="1" ht="21" x14ac:dyDescent="0.25">
      <c r="A13" s="1" t="s">
        <v>48</v>
      </c>
      <c r="B13" s="5">
        <v>45706</v>
      </c>
      <c r="C13" s="4" t="s">
        <v>46</v>
      </c>
      <c r="D13" s="4" t="s">
        <v>33</v>
      </c>
      <c r="E13" s="4" t="s">
        <v>49</v>
      </c>
      <c r="F13" s="4">
        <v>17.989999999999998</v>
      </c>
      <c r="G13" s="4">
        <v>0</v>
      </c>
      <c r="H13" s="4">
        <v>0</v>
      </c>
      <c r="I13" s="6">
        <v>18630.555555555555</v>
      </c>
      <c r="J13" s="4">
        <v>1</v>
      </c>
      <c r="K13" s="7">
        <v>17.989999999999998</v>
      </c>
      <c r="L13" s="8">
        <v>4236</v>
      </c>
      <c r="M13" s="9">
        <v>94836.195555555547</v>
      </c>
      <c r="N13" s="10">
        <v>94836.195555555547</v>
      </c>
      <c r="O13" s="11">
        <v>0.58167458238167302</v>
      </c>
      <c r="P13" s="9">
        <v>150000</v>
      </c>
      <c r="Q13" s="12">
        <v>55163.804444444453</v>
      </c>
      <c r="R13" s="4" t="s">
        <v>18</v>
      </c>
    </row>
    <row r="14" spans="1:18" s="3" customFormat="1" ht="21" x14ac:dyDescent="0.25">
      <c r="A14" s="1" t="s">
        <v>50</v>
      </c>
      <c r="B14" s="5">
        <v>45706</v>
      </c>
      <c r="C14" s="4" t="s">
        <v>46</v>
      </c>
      <c r="D14" s="4" t="s">
        <v>33</v>
      </c>
      <c r="E14" s="4" t="s">
        <v>51</v>
      </c>
      <c r="F14" s="4">
        <v>17.989999999999998</v>
      </c>
      <c r="G14" s="4">
        <v>0</v>
      </c>
      <c r="H14" s="4">
        <v>0</v>
      </c>
      <c r="I14" s="6">
        <v>18630.555555555555</v>
      </c>
      <c r="J14" s="4">
        <v>1</v>
      </c>
      <c r="K14" s="7">
        <v>17.989999999999998</v>
      </c>
      <c r="L14" s="8">
        <v>4236</v>
      </c>
      <c r="M14" s="9">
        <v>94836.195555555547</v>
      </c>
      <c r="N14" s="10">
        <v>94836.195555555547</v>
      </c>
      <c r="O14" s="11">
        <v>0.58167458238167302</v>
      </c>
      <c r="P14" s="9">
        <v>150000</v>
      </c>
      <c r="Q14" s="12">
        <v>55163.804444444453</v>
      </c>
      <c r="R14" s="4" t="s">
        <v>18</v>
      </c>
    </row>
    <row r="15" spans="1:18" s="3" customFormat="1" ht="21" x14ac:dyDescent="0.25">
      <c r="A15" s="1" t="s">
        <v>52</v>
      </c>
      <c r="B15" s="5">
        <v>45635</v>
      </c>
      <c r="C15" s="4" t="s">
        <v>26</v>
      </c>
      <c r="D15" s="4" t="s">
        <v>33</v>
      </c>
      <c r="E15" s="4" t="s">
        <v>53</v>
      </c>
      <c r="F15" s="4">
        <v>21.99</v>
      </c>
      <c r="G15" s="4">
        <v>0</v>
      </c>
      <c r="H15" s="4">
        <v>0</v>
      </c>
      <c r="I15" s="6">
        <v>14266.666666666666</v>
      </c>
      <c r="J15" s="4">
        <v>1</v>
      </c>
      <c r="K15" s="7">
        <v>21.99</v>
      </c>
      <c r="L15" s="8">
        <v>4534.7874929626259</v>
      </c>
      <c r="M15" s="9">
        <v>113986.64363691481</v>
      </c>
      <c r="N15" s="10">
        <v>113986.64363691481</v>
      </c>
      <c r="O15" s="11">
        <v>0.66686195801336934</v>
      </c>
      <c r="P15" s="9">
        <v>190000</v>
      </c>
      <c r="Q15" s="12">
        <v>76013.356363085186</v>
      </c>
      <c r="R15" s="4" t="s">
        <v>18</v>
      </c>
    </row>
    <row r="16" spans="1:18" s="3" customFormat="1" ht="21" x14ac:dyDescent="0.25">
      <c r="A16" s="1" t="s">
        <v>54</v>
      </c>
      <c r="B16" s="5">
        <v>45484</v>
      </c>
      <c r="C16" s="4" t="s">
        <v>46</v>
      </c>
      <c r="D16" s="4" t="s">
        <v>33</v>
      </c>
      <c r="E16" s="4" t="s">
        <v>55</v>
      </c>
      <c r="F16" s="4">
        <v>14.99</v>
      </c>
      <c r="G16" s="4">
        <v>0</v>
      </c>
      <c r="H16" s="4">
        <v>0</v>
      </c>
      <c r="I16" s="6">
        <v>12100</v>
      </c>
      <c r="J16" s="4">
        <v>1</v>
      </c>
      <c r="K16" s="7">
        <v>14.99</v>
      </c>
      <c r="L16" s="8">
        <v>4068.0162435456114</v>
      </c>
      <c r="M16" s="9">
        <v>73079.563490748726</v>
      </c>
      <c r="N16" s="10">
        <v>73079.563490748726</v>
      </c>
      <c r="O16" s="11">
        <v>1.1893945770523751</v>
      </c>
      <c r="P16" s="9">
        <v>160000</v>
      </c>
      <c r="Q16" s="12">
        <v>86920.436509251274</v>
      </c>
      <c r="R16" s="4" t="s">
        <v>18</v>
      </c>
    </row>
    <row r="17" spans="1:18" s="3" customFormat="1" ht="17.25" customHeight="1" x14ac:dyDescent="0.25">
      <c r="A17" s="1" t="s">
        <v>56</v>
      </c>
      <c r="B17" s="5">
        <v>45484</v>
      </c>
      <c r="C17" s="4" t="s">
        <v>46</v>
      </c>
      <c r="D17" s="4" t="s">
        <v>33</v>
      </c>
      <c r="E17" s="4" t="s">
        <v>57</v>
      </c>
      <c r="F17" s="4">
        <v>14.99</v>
      </c>
      <c r="G17" s="4">
        <v>0</v>
      </c>
      <c r="H17" s="4">
        <v>0</v>
      </c>
      <c r="I17" s="6">
        <v>12100</v>
      </c>
      <c r="J17" s="4">
        <v>1</v>
      </c>
      <c r="K17" s="7">
        <v>14.99</v>
      </c>
      <c r="L17" s="8">
        <v>4068.0162435456114</v>
      </c>
      <c r="M17" s="9">
        <v>73079.563490748726</v>
      </c>
      <c r="N17" s="10">
        <v>73079.563490748726</v>
      </c>
      <c r="O17" s="11">
        <v>1.1893945770523751</v>
      </c>
      <c r="P17" s="9">
        <v>160000</v>
      </c>
      <c r="Q17" s="12">
        <v>86920.436509251274</v>
      </c>
      <c r="R17" s="4" t="s">
        <v>18</v>
      </c>
    </row>
  </sheetData>
  <conditionalFormatting sqref="O6 J6:J17 B2:E5 G2:R5">
    <cfRule type="expression" dxfId="122" priority="91">
      <formula>$R2:$R96="Vendido"</formula>
    </cfRule>
  </conditionalFormatting>
  <conditionalFormatting sqref="O6 J6:J17 B2:E5 G2:R5">
    <cfRule type="expression" dxfId="121" priority="92">
      <formula>$R2:$R96="Casillero"</formula>
    </cfRule>
    <cfRule type="expression" dxfId="120" priority="93">
      <formula>$R2:$R96="En Bodega"</formula>
    </cfRule>
  </conditionalFormatting>
  <conditionalFormatting sqref="J2:J17 A17:I17 A16 E15 A2:B15 D11:E14 E10 D8:E9 E2:E7 R2:R14 G2:I15">
    <cfRule type="expression" dxfId="119" priority="80">
      <formula>$R2:$R93="Casillero"</formula>
    </cfRule>
    <cfRule type="expression" dxfId="118" priority="81">
      <formula>$R2:$R93="En Bodega"</formula>
    </cfRule>
  </conditionalFormatting>
  <conditionalFormatting sqref="B16:I17 K16:R16 E15 D11:E14 R11:R14 R9 E2:E10 B2:B15">
    <cfRule type="expression" dxfId="117" priority="148">
      <formula>$R2:$R95="Vendido"</formula>
    </cfRule>
  </conditionalFormatting>
  <conditionalFormatting sqref="C2:C15">
    <cfRule type="expression" dxfId="116" priority="142">
      <formula>$R2:$R95="Vendido"</formula>
    </cfRule>
    <cfRule type="expression" dxfId="115" priority="143">
      <formula>$R2:$R95="Casillero"</formula>
    </cfRule>
    <cfRule type="expression" dxfId="114" priority="144">
      <formula>$R2:$R95="En Bodega"</formula>
    </cfRule>
  </conditionalFormatting>
  <conditionalFormatting sqref="D2:D7">
    <cfRule type="expression" dxfId="113" priority="112">
      <formula>$R2:$R93="Vendido"</formula>
    </cfRule>
    <cfRule type="expression" dxfId="112" priority="113">
      <formula>$R2:$R93="Casillero"</formula>
    </cfRule>
    <cfRule type="expression" dxfId="111" priority="114">
      <formula>$R2:$R93="En Bodega"</formula>
    </cfRule>
  </conditionalFormatting>
  <conditionalFormatting sqref="D2:D10">
    <cfRule type="expression" dxfId="110" priority="109">
      <formula>$R2:$R95="Vendido"</formula>
    </cfRule>
    <cfRule type="expression" dxfId="109" priority="110">
      <formula>$R2:$R95="Casillero"</formula>
    </cfRule>
    <cfRule type="expression" dxfId="108" priority="111">
      <formula>$R2:$R95="En Bodega"</formula>
    </cfRule>
  </conditionalFormatting>
  <conditionalFormatting sqref="J6:J17 A6:A17 G2:L5 O2:O6 A2:E5">
    <cfRule type="expression" dxfId="107" priority="88">
      <formula>$R2:$R94="Vendido"</formula>
    </cfRule>
  </conditionalFormatting>
  <conditionalFormatting sqref="K17:L17 A17:I17 A16 E15 A2:B15 D11:E14 E10 D8:E9 E2:E7 R2:R14 G2:I15">
    <cfRule type="expression" dxfId="106" priority="151">
      <formula>$R2:$R93="Vendido"</formula>
    </cfRule>
  </conditionalFormatting>
  <conditionalFormatting sqref="K17:L17">
    <cfRule type="expression" dxfId="105" priority="152">
      <formula>$R17:$R108="Casillero"</formula>
    </cfRule>
    <cfRule type="expression" dxfId="104" priority="153">
      <formula>$R17:$R108="En Bodega"</formula>
    </cfRule>
  </conditionalFormatting>
  <conditionalFormatting sqref="B16:I17 K16:R16 E15 D11:E14 R11:R14 R9 E2:E10 B2:B15">
    <cfRule type="expression" dxfId="103" priority="149">
      <formula>$R2:$R95="Casillero"</formula>
    </cfRule>
    <cfRule type="expression" dxfId="102" priority="150">
      <formula>$R2:$R95="En Bodega"</formula>
    </cfRule>
  </conditionalFormatting>
  <conditionalFormatting sqref="E2:E11">
    <cfRule type="expression" dxfId="101" priority="127">
      <formula>$R2:$R95="Vendido"</formula>
    </cfRule>
    <cfRule type="expression" dxfId="100" priority="128">
      <formula>$R2:$R95="Casillero"</formula>
    </cfRule>
    <cfRule type="expression" dxfId="99" priority="129">
      <formula>$R2:$R95="En Bodega"</formula>
    </cfRule>
  </conditionalFormatting>
  <conditionalFormatting sqref="E2:E14">
    <cfRule type="expression" dxfId="98" priority="133">
      <formula>$R2:$R95="Vendido"</formula>
    </cfRule>
    <cfRule type="expression" dxfId="97" priority="134">
      <formula>$R2:$R95="Casillero"</formula>
    </cfRule>
    <cfRule type="expression" dxfId="96" priority="135">
      <formula>$R2:$R95="En Bodega"</formula>
    </cfRule>
  </conditionalFormatting>
  <conditionalFormatting sqref="F2:F15">
    <cfRule type="expression" dxfId="95" priority="145">
      <formula>$R2:$R95="Vendido"</formula>
    </cfRule>
    <cfRule type="expression" dxfId="94" priority="146">
      <formula>$R2:$R95="Casillero"</formula>
    </cfRule>
    <cfRule type="expression" dxfId="93" priority="147">
      <formula>$R2:$R95="En Bodega"</formula>
    </cfRule>
  </conditionalFormatting>
  <conditionalFormatting sqref="G2:I9">
    <cfRule type="expression" dxfId="92" priority="124">
      <formula>$R2:$R95="Vendido"</formula>
    </cfRule>
    <cfRule type="expression" dxfId="91" priority="125">
      <formula>$R2:$R95="Casillero"</formula>
    </cfRule>
    <cfRule type="expression" dxfId="90" priority="126">
      <formula>$R2:$R95="En Bodega"</formula>
    </cfRule>
  </conditionalFormatting>
  <conditionalFormatting sqref="J6:J17 A6:A17 O2:O6 G2:L5 A2:E5">
    <cfRule type="expression" dxfId="89" priority="89">
      <formula>$R2:$R94="Casillero"</formula>
    </cfRule>
    <cfRule type="expression" dxfId="88" priority="90">
      <formula>$R2:$R94="En Bodega"</formula>
    </cfRule>
  </conditionalFormatting>
  <conditionalFormatting sqref="I2:I7">
    <cfRule type="expression" dxfId="87" priority="97">
      <formula>$R2:$R95="Vendido"</formula>
    </cfRule>
    <cfRule type="expression" dxfId="86" priority="98">
      <formula>$R2:$R95="Casillero"</formula>
    </cfRule>
    <cfRule type="expression" dxfId="85" priority="99">
      <formula>$R2:$R95="En Bodega"</formula>
    </cfRule>
    <cfRule type="expression" dxfId="84" priority="106">
      <formula>$R2:$R95="Vendido"</formula>
    </cfRule>
    <cfRule type="expression" dxfId="83" priority="107">
      <formula>$R2:$R95="Casillero"</formula>
    </cfRule>
    <cfRule type="expression" dxfId="82" priority="108">
      <formula>$R2:$R95="En Bodega"</formula>
    </cfRule>
  </conditionalFormatting>
  <conditionalFormatting sqref="J2:J17">
    <cfRule type="expression" dxfId="81" priority="79">
      <formula>$R2:$R93="Vendido"</formula>
    </cfRule>
  </conditionalFormatting>
  <conditionalFormatting sqref="J2:J17">
    <cfRule type="expression" dxfId="80" priority="76">
      <formula>$R2:$R95="Vendido"</formula>
    </cfRule>
    <cfRule type="expression" dxfId="79" priority="77">
      <formula>$R2:$R95="Casillero"</formula>
    </cfRule>
    <cfRule type="expression" dxfId="78" priority="78">
      <formula>$R2:$R95="En Bodega"</formula>
    </cfRule>
  </conditionalFormatting>
  <conditionalFormatting sqref="K2:K15">
    <cfRule type="expression" dxfId="77" priority="136">
      <formula>$R2:$R95="Vendido"</formula>
    </cfRule>
    <cfRule type="expression" dxfId="76" priority="137">
      <formula>$R2:$R95="Casillero"</formula>
    </cfRule>
    <cfRule type="expression" dxfId="75" priority="138">
      <formula>$R2:$R95="En Bodega"</formula>
    </cfRule>
  </conditionalFormatting>
  <conditionalFormatting sqref="K2:L15">
    <cfRule type="expression" dxfId="74" priority="139">
      <formula>$R2:$R93="Vendido"</formula>
    </cfRule>
    <cfRule type="expression" dxfId="73" priority="140">
      <formula>$R2:$R93="Casillero"</formula>
    </cfRule>
    <cfRule type="expression" dxfId="72" priority="141">
      <formula>$R2:$R93="En Bodega"</formula>
    </cfRule>
  </conditionalFormatting>
  <conditionalFormatting sqref="L2:Q14">
    <cfRule type="expression" dxfId="71" priority="103">
      <formula>$R2:$R95="Vendido"</formula>
    </cfRule>
    <cfRule type="expression" dxfId="70" priority="104">
      <formula>$R2:$R95="Casillero"</formula>
    </cfRule>
    <cfRule type="expression" dxfId="69" priority="105">
      <formula>$R2:$R95="En Bodega"</formula>
    </cfRule>
  </conditionalFormatting>
  <conditionalFormatting sqref="O2:R14">
    <cfRule type="expression" dxfId="68" priority="130">
      <formula>$R2:$R93="Vendido"</formula>
    </cfRule>
    <cfRule type="expression" dxfId="67" priority="131">
      <formula>$R2:$R93="Casillero"</formula>
    </cfRule>
    <cfRule type="expression" dxfId="66" priority="132">
      <formula>$R2:$R93="En Bodega"</formula>
    </cfRule>
  </conditionalFormatting>
  <conditionalFormatting sqref="P2:R5">
    <cfRule type="expression" dxfId="65" priority="85">
      <formula>$R2:$R94="Vendido"</formula>
    </cfRule>
    <cfRule type="expression" dxfId="64" priority="86">
      <formula>$R2:$R94="Casillero"</formula>
    </cfRule>
    <cfRule type="expression" dxfId="63" priority="87">
      <formula>$R2:$R94="En Bodega"</formula>
    </cfRule>
  </conditionalFormatting>
  <conditionalFormatting sqref="R2:R7">
    <cfRule type="expression" dxfId="62" priority="100">
      <formula>$R2:$R95="Vendido"</formula>
    </cfRule>
    <cfRule type="expression" dxfId="61" priority="101">
      <formula>$R2:$R95="Casillero"</formula>
    </cfRule>
    <cfRule type="expression" dxfId="60" priority="102">
      <formula>$R2:$R95="En Bodega"</formula>
    </cfRule>
  </conditionalFormatting>
  <conditionalFormatting sqref="R2:R8">
    <cfRule type="expression" dxfId="59" priority="115">
      <formula>$R2:$R95="Vendido"</formula>
    </cfRule>
    <cfRule type="expression" dxfId="58" priority="116">
      <formula>$R2:$R95="Casillero"</formula>
    </cfRule>
    <cfRule type="expression" dxfId="57" priority="117">
      <formula>$R2:$R95="En Bodega"</formula>
    </cfRule>
  </conditionalFormatting>
  <conditionalFormatting sqref="E8">
    <cfRule type="expression" dxfId="47" priority="64">
      <formula>$R8:$R101="Vendido"</formula>
    </cfRule>
    <cfRule type="expression" dxfId="46" priority="65">
      <formula>$R8:$R101="Casillero"</formula>
    </cfRule>
    <cfRule type="expression" dxfId="45" priority="66">
      <formula>$R8:$R101="En Bodega"</formula>
    </cfRule>
    <cfRule type="expression" dxfId="44" priority="67">
      <formula>$R8:$R101="Vendido"</formula>
    </cfRule>
    <cfRule type="expression" dxfId="43" priority="68">
      <formula>$R8:$R101="Casillero"</formula>
    </cfRule>
    <cfRule type="expression" dxfId="42" priority="69">
      <formula>$R8:$R101="En Bodega"</formula>
    </cfRule>
  </conditionalFormatting>
  <conditionalFormatting sqref="E8">
    <cfRule type="expression" dxfId="41" priority="70">
      <formula>$R8:$R101="Vendido"</formula>
    </cfRule>
    <cfRule type="expression" dxfId="40" priority="71">
      <formula>$R8:$R101="Casillero"</formula>
    </cfRule>
    <cfRule type="expression" dxfId="39" priority="72">
      <formula>$R8:$R101="En Bodega"</formula>
    </cfRule>
  </conditionalFormatting>
  <conditionalFormatting sqref="I9">
    <cfRule type="expression" dxfId="38" priority="61">
      <formula>$R9:$R102="Vendido"</formula>
    </cfRule>
    <cfRule type="expression" dxfId="37" priority="62">
      <formula>$R9:$R102="Casillero"</formula>
    </cfRule>
    <cfRule type="expression" dxfId="36" priority="63">
      <formula>$R9:$R102="En Bodega"</formula>
    </cfRule>
  </conditionalFormatting>
  <conditionalFormatting sqref="D10">
    <cfRule type="expression" dxfId="35" priority="37">
      <formula>$R10:$R101="Vendido"</formula>
    </cfRule>
    <cfRule type="expression" dxfId="34" priority="38">
      <formula>$R10:$R101="Casillero"</formula>
    </cfRule>
    <cfRule type="expression" dxfId="33" priority="39">
      <formula>$R10:$R101="En Bodega"</formula>
    </cfRule>
  </conditionalFormatting>
  <conditionalFormatting sqref="G10:I15">
    <cfRule type="expression" dxfId="32" priority="43">
      <formula>$R10:$R103="Vendido"</formula>
    </cfRule>
    <cfRule type="expression" dxfId="31" priority="44">
      <formula>$R10:$R103="Casillero"</formula>
    </cfRule>
    <cfRule type="expression" dxfId="30" priority="45">
      <formula>$R10:$R103="En Bodega"</formula>
    </cfRule>
  </conditionalFormatting>
  <conditionalFormatting sqref="I10">
    <cfRule type="expression" dxfId="29" priority="28">
      <formula>$R10:$R103="Vendido"</formula>
    </cfRule>
    <cfRule type="expression" dxfId="28" priority="29">
      <formula>$R10:$R103="Casillero"</formula>
    </cfRule>
    <cfRule type="expression" dxfId="27" priority="30">
      <formula>$R10:$R103="En Bodega"</formula>
    </cfRule>
    <cfRule type="expression" dxfId="26" priority="34">
      <formula>$R10:$R103="Vendido"</formula>
    </cfRule>
    <cfRule type="expression" dxfId="25" priority="35">
      <formula>$R10:$R103="Casillero"</formula>
    </cfRule>
    <cfRule type="expression" dxfId="24" priority="36">
      <formula>$R10:$R103="En Bodega"</formula>
    </cfRule>
  </conditionalFormatting>
  <conditionalFormatting sqref="R10">
    <cfRule type="expression" dxfId="23" priority="31">
      <formula>$R10:$R103="Vendido"</formula>
    </cfRule>
    <cfRule type="expression" dxfId="22" priority="32">
      <formula>$R10:$R103="Casillero"</formula>
    </cfRule>
    <cfRule type="expression" dxfId="21" priority="33">
      <formula>$R10:$R103="En Bodega"</formula>
    </cfRule>
  </conditionalFormatting>
  <conditionalFormatting sqref="R10">
    <cfRule type="expression" dxfId="20" priority="40">
      <formula>$R10:$R103="Vendido"</formula>
    </cfRule>
    <cfRule type="expression" dxfId="19" priority="41">
      <formula>$R10:$R103="Casillero"</formula>
    </cfRule>
    <cfRule type="expression" dxfId="18" priority="42">
      <formula>$R10:$R103="En Bodega"</formula>
    </cfRule>
  </conditionalFormatting>
  <conditionalFormatting sqref="D15">
    <cfRule type="expression" dxfId="17" priority="19">
      <formula>$R15:$R108="Vendido"</formula>
    </cfRule>
    <cfRule type="expression" dxfId="16" priority="20">
      <formula>$R15:$R108="Casillero"</formula>
    </cfRule>
    <cfRule type="expression" dxfId="15" priority="21">
      <formula>$R15:$R108="En Bodega"</formula>
    </cfRule>
    <cfRule type="expression" dxfId="14" priority="22">
      <formula>$R15:$R106="Vendido"</formula>
    </cfRule>
    <cfRule type="expression" dxfId="13" priority="23">
      <formula>$R15:$R106="Casillero"</formula>
    </cfRule>
    <cfRule type="expression" dxfId="12" priority="24">
      <formula>$R15:$R106="En Bodega"</formula>
    </cfRule>
  </conditionalFormatting>
  <conditionalFormatting sqref="L15:R15">
    <cfRule type="expression" dxfId="11" priority="13">
      <formula>$R15:$R108="Vendido"</formula>
    </cfRule>
    <cfRule type="expression" dxfId="10" priority="14">
      <formula>$R15:$R108="Casillero"</formula>
    </cfRule>
    <cfRule type="expression" dxfId="9" priority="15">
      <formula>$R15:$R108="En Bodega"</formula>
    </cfRule>
  </conditionalFormatting>
  <conditionalFormatting sqref="O15:R15">
    <cfRule type="expression" dxfId="8" priority="16">
      <formula>$R15:$R106="Vendido"</formula>
    </cfRule>
    <cfRule type="expression" dxfId="7" priority="17">
      <formula>$R15:$R106="Casillero"</formula>
    </cfRule>
    <cfRule type="expression" dxfId="6" priority="18">
      <formula>$R15:$R106="En Bodega"</formula>
    </cfRule>
  </conditionalFormatting>
  <conditionalFormatting sqref="K17:R17">
    <cfRule type="expression" dxfId="5" priority="7">
      <formula>$R17:$R110="Vendido"</formula>
    </cfRule>
    <cfRule type="expression" dxfId="4" priority="8">
      <formula>$R17:$R110="Casillero"</formula>
    </cfRule>
    <cfRule type="expression" dxfId="3" priority="9">
      <formula>$R17:$R110="En Bodega"</formula>
    </cfRule>
  </conditionalFormatting>
  <conditionalFormatting sqref="O17:R17">
    <cfRule type="expression" dxfId="2" priority="10">
      <formula>$R17:$R108="Vendido"</formula>
    </cfRule>
    <cfRule type="expression" dxfId="1" priority="11">
      <formula>$R17:$R108="Casillero"</formula>
    </cfRule>
    <cfRule type="expression" dxfId="0" priority="12">
      <formula>$R17:$R108="En Bodega"</formula>
    </cfRule>
  </conditionalFormatting>
  <dataValidations count="1">
    <dataValidation type="list" allowBlank="1" showInputMessage="1" showErrorMessage="1" sqref="R6:R17 C2:C17" xr:uid="{004C612E-FBE2-4278-BFB6-CF5BC3582808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Escobar Diaz</dc:creator>
  <cp:lastModifiedBy>Vladimir Escobar Diaz</cp:lastModifiedBy>
  <dcterms:created xsi:type="dcterms:W3CDTF">2026-07-05T02:44:43Z</dcterms:created>
  <dcterms:modified xsi:type="dcterms:W3CDTF">2026-07-05T02:53:22Z</dcterms:modified>
</cp:coreProperties>
</file>